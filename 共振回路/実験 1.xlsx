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05i42\Documents\工学実験\Reports\共振回路\"/>
    </mc:Choice>
  </mc:AlternateContent>
  <xr:revisionPtr revIDLastSave="0" documentId="13_ncr:1_{9E1BD201-C3D0-4DDE-AF24-1C70EEA53DB2}" xr6:coauthVersionLast="47" xr6:coauthVersionMax="47" xr10:uidLastSave="{00000000-0000-0000-0000-000000000000}"/>
  <bookViews>
    <workbookView xWindow="-120" yWindow="-120" windowWidth="29040" windowHeight="15720" xr2:uid="{B33304DC-6AE8-48F5-8253-921510F72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1" l="1"/>
  <c r="N11" i="1"/>
  <c r="N10" i="1"/>
  <c r="M6" i="1"/>
  <c r="O11" i="1"/>
  <c r="M9" i="1"/>
  <c r="N9" i="1"/>
  <c r="N5" i="1"/>
  <c r="O3" i="1"/>
  <c r="N3" i="1"/>
  <c r="G8" i="1"/>
  <c r="H7" i="1"/>
  <c r="G7" i="1"/>
  <c r="F54" i="1"/>
  <c r="E50" i="1"/>
  <c r="F50" i="1" s="1"/>
  <c r="G50" i="1" s="1"/>
  <c r="E52" i="1"/>
  <c r="F52" i="1" s="1"/>
  <c r="G52" i="1" s="1"/>
  <c r="F55" i="1"/>
  <c r="G55" i="1" s="1"/>
  <c r="F42" i="1"/>
  <c r="G42" i="1" s="1"/>
  <c r="E43" i="1"/>
  <c r="F43" i="1" s="1"/>
  <c r="G43" i="1" s="1"/>
  <c r="E44" i="1"/>
  <c r="F44" i="1" s="1"/>
  <c r="G44" i="1" s="1"/>
  <c r="E45" i="1"/>
  <c r="F45" i="1" s="1"/>
  <c r="G45" i="1" s="1"/>
  <c r="E46" i="1"/>
  <c r="F46" i="1" s="1"/>
  <c r="G46" i="1" s="1"/>
  <c r="E47" i="1"/>
  <c r="F47" i="1" s="1"/>
  <c r="G47" i="1" s="1"/>
  <c r="E48" i="1"/>
  <c r="F48" i="1" s="1"/>
  <c r="G48" i="1" s="1"/>
  <c r="E49" i="1"/>
  <c r="F49" i="1" s="1"/>
  <c r="G49" i="1" s="1"/>
  <c r="E51" i="1"/>
  <c r="F51" i="1" s="1"/>
  <c r="G51" i="1" s="1"/>
  <c r="E53" i="1"/>
  <c r="F53" i="1" s="1"/>
  <c r="G53" i="1" s="1"/>
  <c r="E54" i="1"/>
  <c r="G54" i="1" s="1"/>
  <c r="E55" i="1"/>
  <c r="E56" i="1"/>
  <c r="F56" i="1" s="1"/>
  <c r="G56" i="1" s="1"/>
  <c r="E57" i="1"/>
  <c r="F57" i="1" s="1"/>
  <c r="G57" i="1" s="1"/>
  <c r="E42" i="1"/>
  <c r="M3" i="1"/>
  <c r="F30" i="1"/>
  <c r="H30" i="1" s="1"/>
  <c r="F33" i="1"/>
  <c r="H33" i="1" s="1"/>
  <c r="F28" i="1"/>
  <c r="G28" i="1" s="1"/>
  <c r="F31" i="1"/>
  <c r="H31" i="1" s="1"/>
  <c r="F29" i="1"/>
  <c r="H29" i="1" s="1"/>
  <c r="F32" i="1"/>
  <c r="H32" i="1" s="1"/>
  <c r="F27" i="1"/>
  <c r="G27" i="1" s="1"/>
  <c r="F14" i="1"/>
  <c r="G14" i="1" s="1"/>
  <c r="F15" i="1"/>
  <c r="H15" i="1" s="1"/>
  <c r="F16" i="1"/>
  <c r="G16" i="1" s="1"/>
  <c r="F17" i="1"/>
  <c r="G17" i="1" s="1"/>
  <c r="F18" i="1"/>
  <c r="G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G25" i="1" s="1"/>
  <c r="F26" i="1"/>
  <c r="H26" i="1" s="1"/>
  <c r="F34" i="1"/>
  <c r="G34" i="1" s="1"/>
  <c r="F35" i="1"/>
  <c r="H35" i="1" s="1"/>
  <c r="F36" i="1"/>
  <c r="G36" i="1" s="1"/>
  <c r="F37" i="1"/>
  <c r="G37" i="1" s="1"/>
  <c r="F13" i="1"/>
  <c r="G13" i="1" s="1"/>
  <c r="G30" i="1" l="1"/>
  <c r="I30" i="1" s="1"/>
  <c r="J30" i="1" s="1"/>
  <c r="G33" i="1"/>
  <c r="I33" i="1" s="1"/>
  <c r="J33" i="1" s="1"/>
  <c r="H28" i="1"/>
  <c r="I28" i="1" s="1"/>
  <c r="J28" i="1" s="1"/>
  <c r="G31" i="1"/>
  <c r="I31" i="1" s="1"/>
  <c r="J31" i="1" s="1"/>
  <c r="G29" i="1"/>
  <c r="I29" i="1" s="1"/>
  <c r="J29" i="1" s="1"/>
  <c r="H13" i="1"/>
  <c r="H16" i="1"/>
  <c r="I16" i="1" s="1"/>
  <c r="J16" i="1" s="1"/>
  <c r="H18" i="1"/>
  <c r="I18" i="1" s="1"/>
  <c r="J18" i="1" s="1"/>
  <c r="H17" i="1"/>
  <c r="I17" i="1" s="1"/>
  <c r="J17" i="1" s="1"/>
  <c r="G15" i="1"/>
  <c r="I15" i="1" s="1"/>
  <c r="J15" i="1" s="1"/>
  <c r="H14" i="1"/>
  <c r="I14" i="1" s="1"/>
  <c r="J14" i="1" s="1"/>
  <c r="H36" i="1"/>
  <c r="I36" i="1" s="1"/>
  <c r="J36" i="1" s="1"/>
  <c r="H37" i="1"/>
  <c r="I37" i="1" s="1"/>
  <c r="J37" i="1" s="1"/>
  <c r="I13" i="1"/>
  <c r="J13" i="1" s="1"/>
  <c r="G35" i="1"/>
  <c r="I35" i="1" s="1"/>
  <c r="J35" i="1" s="1"/>
  <c r="H25" i="1"/>
  <c r="I25" i="1" s="1"/>
  <c r="J25" i="1" s="1"/>
  <c r="G24" i="1"/>
  <c r="I24" i="1" s="1"/>
  <c r="J24" i="1" s="1"/>
  <c r="H27" i="1"/>
  <c r="I27" i="1" s="1"/>
  <c r="J27" i="1" s="1"/>
  <c r="G26" i="1"/>
  <c r="I26" i="1" s="1"/>
  <c r="J26" i="1" s="1"/>
  <c r="H34" i="1"/>
  <c r="I34" i="1" s="1"/>
  <c r="J34" i="1" s="1"/>
  <c r="G20" i="1"/>
  <c r="I20" i="1" s="1"/>
  <c r="J20" i="1" s="1"/>
  <c r="G23" i="1"/>
  <c r="I23" i="1" s="1"/>
  <c r="J23" i="1" s="1"/>
  <c r="G22" i="1"/>
  <c r="I22" i="1" s="1"/>
  <c r="J22" i="1" s="1"/>
  <c r="G21" i="1"/>
  <c r="I21" i="1" s="1"/>
  <c r="J21" i="1" s="1"/>
  <c r="G19" i="1"/>
  <c r="I19" i="1" s="1"/>
  <c r="J19" i="1" s="1"/>
  <c r="G32" i="1"/>
  <c r="I32" i="1" s="1"/>
  <c r="J32" i="1" s="1"/>
</calcChain>
</file>

<file path=xl/sharedStrings.xml><?xml version="1.0" encoding="utf-8"?>
<sst xmlns="http://schemas.openxmlformats.org/spreadsheetml/2006/main" count="50" uniqueCount="45">
  <si>
    <t>インダクタンスL</t>
    <phoneticPr fontId="2"/>
  </si>
  <si>
    <t>内部抵抗r</t>
    <rPh sb="0" eb="4">
      <t>ナイブテイコウ</t>
    </rPh>
    <phoneticPr fontId="2"/>
  </si>
  <si>
    <t>コンデンサC</t>
    <phoneticPr fontId="2"/>
  </si>
  <si>
    <t>電流測定用外付け抵抗 R</t>
    <rPh sb="0" eb="2">
      <t>デンリュウ</t>
    </rPh>
    <rPh sb="2" eb="5">
      <t>ソクテイヨウ</t>
    </rPh>
    <rPh sb="5" eb="7">
      <t>ソトヅ</t>
    </rPh>
    <rPh sb="8" eb="10">
      <t>テイコウ</t>
    </rPh>
    <phoneticPr fontId="2"/>
  </si>
  <si>
    <t>天候</t>
    <rPh sb="0" eb="2">
      <t>テンコウ</t>
    </rPh>
    <phoneticPr fontId="2"/>
  </si>
  <si>
    <t>晴れ</t>
    <rPh sb="0" eb="1">
      <t>ハ</t>
    </rPh>
    <phoneticPr fontId="2"/>
  </si>
  <si>
    <t>室温</t>
    <rPh sb="0" eb="2">
      <t>シツオン</t>
    </rPh>
    <phoneticPr fontId="2"/>
  </si>
  <si>
    <t>22.3 ℃</t>
    <phoneticPr fontId="2"/>
  </si>
  <si>
    <t>湿度</t>
    <rPh sb="0" eb="2">
      <t>シツド</t>
    </rPh>
    <phoneticPr fontId="2"/>
  </si>
  <si>
    <t>desk No</t>
    <phoneticPr fontId="2"/>
  </si>
  <si>
    <t>24,25</t>
    <phoneticPr fontId="2"/>
  </si>
  <si>
    <t>実験(a)</t>
    <rPh sb="0" eb="2">
      <t>ジッケン</t>
    </rPh>
    <phoneticPr fontId="2"/>
  </si>
  <si>
    <t>⑴</t>
    <phoneticPr fontId="2"/>
  </si>
  <si>
    <t>⑵</t>
  </si>
  <si>
    <t>ｆ(Hz)</t>
  </si>
  <si>
    <t>VR(V)</t>
  </si>
  <si>
    <t>VL(V)</t>
  </si>
  <si>
    <t>VC(V)</t>
  </si>
  <si>
    <t>I(A)</t>
  </si>
  <si>
    <t>XＬ(Ω)</t>
  </si>
  <si>
    <t>XC(Ω)</t>
    <phoneticPr fontId="2"/>
  </si>
  <si>
    <t>mH</t>
    <phoneticPr fontId="2"/>
  </si>
  <si>
    <t>nF</t>
    <phoneticPr fontId="2"/>
  </si>
  <si>
    <t>Ω</t>
    <phoneticPr fontId="2"/>
  </si>
  <si>
    <t>|Y|(S）</t>
    <phoneticPr fontId="2"/>
  </si>
  <si>
    <t>|Z|(Ω)</t>
    <phoneticPr fontId="2"/>
  </si>
  <si>
    <t>実験(b)</t>
    <rPh sb="0" eb="2">
      <t>ジッケン</t>
    </rPh>
    <phoneticPr fontId="2"/>
  </si>
  <si>
    <t>VLC(V)</t>
    <phoneticPr fontId="2"/>
  </si>
  <si>
    <r>
      <t>I(</t>
    </r>
    <r>
      <rPr>
        <sz val="11"/>
        <color rgb="FFFF0000"/>
        <rFont val="游ゴシック"/>
        <family val="3"/>
        <charset val="128"/>
        <scheme val="minor"/>
      </rPr>
      <t>mA</t>
    </r>
    <r>
      <rPr>
        <sz val="11"/>
        <color theme="1"/>
        <rFont val="游ゴシック"/>
        <family val="2"/>
        <charset val="128"/>
        <scheme val="minor"/>
      </rPr>
      <t>)</t>
    </r>
    <phoneticPr fontId="2"/>
  </si>
  <si>
    <t>直列回路</t>
    <rPh sb="0" eb="4">
      <t>チョクレツカイロ</t>
    </rPh>
    <phoneticPr fontId="2"/>
  </si>
  <si>
    <t>並列回路</t>
    <rPh sb="0" eb="4">
      <t>ヘイレツカイロ</t>
    </rPh>
    <phoneticPr fontId="2"/>
  </si>
  <si>
    <t>共振時の電流の√2分の1となる電流</t>
    <phoneticPr fontId="2"/>
  </si>
  <si>
    <t>直列</t>
    <rPh sb="0" eb="2">
      <t>チョクレツ</t>
    </rPh>
    <phoneticPr fontId="2"/>
  </si>
  <si>
    <t>並列</t>
    <rPh sb="0" eb="2">
      <t>ヘイレツ</t>
    </rPh>
    <phoneticPr fontId="2"/>
  </si>
  <si>
    <t>B</t>
    <phoneticPr fontId="2"/>
  </si>
  <si>
    <t>理論値(f0)</t>
    <rPh sb="0" eb="3">
      <t>リロンチ</t>
    </rPh>
    <phoneticPr fontId="2"/>
  </si>
  <si>
    <t>理論値(Q)</t>
    <rPh sb="0" eb="3">
      <t>リロンチ</t>
    </rPh>
    <phoneticPr fontId="2"/>
  </si>
  <si>
    <t>計測値(f1)</t>
    <rPh sb="0" eb="3">
      <t>ケイソクチ</t>
    </rPh>
    <phoneticPr fontId="2"/>
  </si>
  <si>
    <t>f1,f2の電流</t>
    <rPh sb="6" eb="8">
      <t>デンリュウ</t>
    </rPh>
    <phoneticPr fontId="2"/>
  </si>
  <si>
    <t>-</t>
    <phoneticPr fontId="2"/>
  </si>
  <si>
    <t>計測値(f0)</t>
    <rPh sb="0" eb="3">
      <t>ケイソクチ</t>
    </rPh>
    <phoneticPr fontId="2"/>
  </si>
  <si>
    <t>計測値(f2)</t>
    <rPh sb="0" eb="3">
      <t>ケイソクチ</t>
    </rPh>
    <phoneticPr fontId="2"/>
  </si>
  <si>
    <t>計測値(Q)</t>
    <rPh sb="0" eb="3">
      <t>ケイソクチ</t>
    </rPh>
    <phoneticPr fontId="2"/>
  </si>
  <si>
    <t>f1,f2の|Z|</t>
    <phoneticPr fontId="2"/>
  </si>
  <si>
    <t>計測値(B)</t>
    <rPh sb="0" eb="3">
      <t>ケイソクチ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</si>
</sst>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000"/>
    <numFmt numFmtId="178" formatCode="0.00000"/>
    <numFmt numFmtId="179" formatCode="0.000000"/>
    <numFmt numFmtId="180" formatCode="0.0000000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7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9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2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2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直列共振回路　</a:t>
            </a:r>
            <a:r>
              <a:rPr lang="en-US" altLang="ja-JP"/>
              <a:t>f-|Y|</a:t>
            </a:r>
            <a:r>
              <a:rPr lang="ja-JP" altLang="en-US"/>
              <a:t>特性グラフ</a:t>
            </a:r>
            <a:endParaRPr lang="en-US" altLang="ja-JP"/>
          </a:p>
        </c:rich>
      </c:tx>
      <c:layout>
        <c:manualLayout>
          <c:xMode val="edge"/>
          <c:yMode val="edge"/>
          <c:x val="0.32066098931612974"/>
          <c:y val="2.4305967874129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8"/>
          <c:tx>
            <c:strRef>
              <c:f>Sheet1!$J$12</c:f>
              <c:strCache>
                <c:ptCount val="1"/>
                <c:pt idx="0">
                  <c:v>|Y|(S）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Sheet1!$B$13:$B$37</c:f>
              <c:numCache>
                <c:formatCode>General</c:formatCode>
                <c:ptCount val="25"/>
                <c:pt idx="0">
                  <c:v>50</c:v>
                </c:pt>
                <c:pt idx="1">
                  <c:v>70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500</c:v>
                </c:pt>
                <c:pt idx="7">
                  <c:v>700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9000</c:v>
                </c:pt>
                <c:pt idx="15">
                  <c:v>9400</c:v>
                </c:pt>
                <c:pt idx="16">
                  <c:v>9800</c:v>
                </c:pt>
                <c:pt idx="17">
                  <c:v>9900</c:v>
                </c:pt>
                <c:pt idx="18">
                  <c:v>10200</c:v>
                </c:pt>
                <c:pt idx="19">
                  <c:v>11000</c:v>
                </c:pt>
                <c:pt idx="20">
                  <c:v>13000</c:v>
                </c:pt>
                <c:pt idx="21">
                  <c:v>15000</c:v>
                </c:pt>
                <c:pt idx="22">
                  <c:v>20000</c:v>
                </c:pt>
                <c:pt idx="23">
                  <c:v>30000</c:v>
                </c:pt>
                <c:pt idx="24">
                  <c:v>50000</c:v>
                </c:pt>
              </c:numCache>
            </c:numRef>
          </c:xVal>
          <c:yVal>
            <c:numRef>
              <c:f>Sheet1!$J$13:$J$37</c:f>
              <c:numCache>
                <c:formatCode>General</c:formatCode>
                <c:ptCount val="25"/>
                <c:pt idx="0">
                  <c:v>1.3944284786653541E-5</c:v>
                </c:pt>
                <c:pt idx="1">
                  <c:v>1.850817926633452E-5</c:v>
                </c:pt>
                <c:pt idx="2">
                  <c:v>2.5252189380503882E-5</c:v>
                </c:pt>
                <c:pt idx="3">
                  <c:v>3.6858061956049508E-5</c:v>
                </c:pt>
                <c:pt idx="4">
                  <c:v>4.8615432482887361E-5</c:v>
                </c:pt>
                <c:pt idx="5">
                  <c:v>7.5730025564111857E-5</c:v>
                </c:pt>
                <c:pt idx="6">
                  <c:v>1.2113859939705302E-4</c:v>
                </c:pt>
                <c:pt idx="7">
                  <c:v>1.7120753138817707E-4</c:v>
                </c:pt>
                <c:pt idx="8">
                  <c:v>2.4437812001644579E-4</c:v>
                </c:pt>
                <c:pt idx="9">
                  <c:v>3.6746622651318136E-4</c:v>
                </c:pt>
                <c:pt idx="10">
                  <c:v>4.8630101000497874E-4</c:v>
                </c:pt>
                <c:pt idx="11">
                  <c:v>7.5281137174907601E-4</c:v>
                </c:pt>
                <c:pt idx="12">
                  <c:v>1.4015461602413205E-3</c:v>
                </c:pt>
                <c:pt idx="13">
                  <c:v>3.325291778053074E-3</c:v>
                </c:pt>
                <c:pt idx="14">
                  <c:v>1.6706602768903074E-2</c:v>
                </c:pt>
                <c:pt idx="15">
                  <c:v>2.1983873421573097E-2</c:v>
                </c:pt>
                <c:pt idx="16">
                  <c:v>8.0328617069831187E-2</c:v>
                </c:pt>
                <c:pt idx="17">
                  <c:v>0.21725239616613323</c:v>
                </c:pt>
                <c:pt idx="18">
                  <c:v>6.0534723389944506E-2</c:v>
                </c:pt>
                <c:pt idx="19">
                  <c:v>2.0495509072276801E-2</c:v>
                </c:pt>
                <c:pt idx="20">
                  <c:v>8.937598576454887E-3</c:v>
                </c:pt>
                <c:pt idx="21">
                  <c:v>6.049894636666441E-3</c:v>
                </c:pt>
                <c:pt idx="22">
                  <c:v>2.2447743740733779E-3</c:v>
                </c:pt>
                <c:pt idx="23">
                  <c:v>1.207350007943092E-3</c:v>
                </c:pt>
                <c:pt idx="24">
                  <c:v>6.3108902299530633E-4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B18-4320-A570-E64E40BAE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638448"/>
        <c:axId val="2226405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Sheet1!$B$12</c15:sqref>
                        </c15:formulaRef>
                      </c:ext>
                    </c:extLst>
                    <c:strCache>
                      <c:ptCount val="1"/>
                      <c:pt idx="0">
                        <c:v>ｆ(Hz)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Sheet1!$A$13:$A$40</c15:sqref>
                        </c15:formulaRef>
                      </c:ext>
                    </c:extLst>
                    <c:strCache>
                      <c:ptCount val="28"/>
                      <c:pt idx="27">
                        <c:v>実験(b)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Sheet1!$B$13:$B$37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50</c:v>
                      </c:pt>
                      <c:pt idx="1">
                        <c:v>70</c:v>
                      </c:pt>
                      <c:pt idx="2">
                        <c:v>100</c:v>
                      </c:pt>
                      <c:pt idx="3">
                        <c:v>150</c:v>
                      </c:pt>
                      <c:pt idx="4">
                        <c:v>200</c:v>
                      </c:pt>
                      <c:pt idx="5">
                        <c:v>300</c:v>
                      </c:pt>
                      <c:pt idx="6">
                        <c:v>500</c:v>
                      </c:pt>
                      <c:pt idx="7">
                        <c:v>700</c:v>
                      </c:pt>
                      <c:pt idx="8">
                        <c:v>1000</c:v>
                      </c:pt>
                      <c:pt idx="9">
                        <c:v>1500</c:v>
                      </c:pt>
                      <c:pt idx="10">
                        <c:v>2000</c:v>
                      </c:pt>
                      <c:pt idx="11">
                        <c:v>3000</c:v>
                      </c:pt>
                      <c:pt idx="12">
                        <c:v>5000</c:v>
                      </c:pt>
                      <c:pt idx="13">
                        <c:v>7000</c:v>
                      </c:pt>
                      <c:pt idx="14">
                        <c:v>9000</c:v>
                      </c:pt>
                      <c:pt idx="15">
                        <c:v>9400</c:v>
                      </c:pt>
                      <c:pt idx="16">
                        <c:v>9800</c:v>
                      </c:pt>
                      <c:pt idx="17">
                        <c:v>9900</c:v>
                      </c:pt>
                      <c:pt idx="18">
                        <c:v>10200</c:v>
                      </c:pt>
                      <c:pt idx="19">
                        <c:v>11000</c:v>
                      </c:pt>
                      <c:pt idx="20">
                        <c:v>13000</c:v>
                      </c:pt>
                      <c:pt idx="21">
                        <c:v>15000</c:v>
                      </c:pt>
                      <c:pt idx="22">
                        <c:v>20000</c:v>
                      </c:pt>
                      <c:pt idx="23">
                        <c:v>30000</c:v>
                      </c:pt>
                      <c:pt idx="24">
                        <c:v>50000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B18-4320-A570-E64E40BAEC2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</c15:sqref>
                        </c15:formulaRef>
                      </c:ext>
                    </c:extLst>
                    <c:strCache>
                      <c:ptCount val="1"/>
                      <c:pt idx="0">
                        <c:v>VR(V)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Sheet1!$A$13:$A$38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Sheet1!$C$13:$C$37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8.8900000000000003E-4</c:v>
                      </c:pt>
                      <c:pt idx="1">
                        <c:v>1.1800000000000001E-3</c:v>
                      </c:pt>
                      <c:pt idx="2">
                        <c:v>1.6100000000000001E-3</c:v>
                      </c:pt>
                      <c:pt idx="3">
                        <c:v>2.3500000000000001E-3</c:v>
                      </c:pt>
                      <c:pt idx="4" formatCode="0.00000">
                        <c:v>3.13E-3</c:v>
                      </c:pt>
                      <c:pt idx="5">
                        <c:v>4.7800000000000004E-3</c:v>
                      </c:pt>
                      <c:pt idx="6">
                        <c:v>7.8700000000000003E-3</c:v>
                      </c:pt>
                      <c:pt idx="7" formatCode="0.0000">
                        <c:v>1.0999999999999999E-2</c:v>
                      </c:pt>
                      <c:pt idx="8">
                        <c:v>1.5800000000000002E-2</c:v>
                      </c:pt>
                      <c:pt idx="9">
                        <c:v>2.3099999999999999E-2</c:v>
                      </c:pt>
                      <c:pt idx="10">
                        <c:v>3.1099999999999999E-2</c:v>
                      </c:pt>
                      <c:pt idx="11">
                        <c:v>4.87E-2</c:v>
                      </c:pt>
                      <c:pt idx="12" formatCode="0.0000">
                        <c:v>8.7999999999999995E-2</c:v>
                      </c:pt>
                      <c:pt idx="13">
                        <c:v>0.153</c:v>
                      </c:pt>
                      <c:pt idx="14">
                        <c:v>0.502</c:v>
                      </c:pt>
                      <c:pt idx="15">
                        <c:v>0.57799999999999996</c:v>
                      </c:pt>
                      <c:pt idx="16">
                        <c:v>0.70399999999999996</c:v>
                      </c:pt>
                      <c:pt idx="17" formatCode="0.000">
                        <c:v>0.68</c:v>
                      </c:pt>
                      <c:pt idx="18" formatCode="0.000">
                        <c:v>0.72</c:v>
                      </c:pt>
                      <c:pt idx="19" formatCode="0.000">
                        <c:v>0.68</c:v>
                      </c:pt>
                      <c:pt idx="20">
                        <c:v>0.442</c:v>
                      </c:pt>
                      <c:pt idx="21">
                        <c:v>0.35599999999999998</c:v>
                      </c:pt>
                      <c:pt idx="22">
                        <c:v>0.129</c:v>
                      </c:pt>
                      <c:pt idx="23">
                        <c:v>6.8400000000000002E-2</c:v>
                      </c:pt>
                      <c:pt idx="24">
                        <c:v>3.5200000000000002E-2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B18-4320-A570-E64E40BAEC2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Sheet1!$D$12</c15:sqref>
                        </c15:formulaRef>
                      </c:ext>
                    </c:extLst>
                    <c:strCache>
                      <c:ptCount val="1"/>
                      <c:pt idx="0">
                        <c:v>VL(V)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Sheet1!$A$13:$A$38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Sheet1!$D$13:$D$37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1.57E-3</c:v>
                      </c:pt>
                      <c:pt idx="1">
                        <c:v>1.5399999999999999E-3</c:v>
                      </c:pt>
                      <c:pt idx="2">
                        <c:v>1.5200000000000001E-3</c:v>
                      </c:pt>
                      <c:pt idx="3" formatCode="0.00000">
                        <c:v>1.5E-3</c:v>
                      </c:pt>
                      <c:pt idx="4">
                        <c:v>1.5200000000000001E-3</c:v>
                      </c:pt>
                      <c:pt idx="5">
                        <c:v>1.7099999999999999E-3</c:v>
                      </c:pt>
                      <c:pt idx="6">
                        <c:v>2.1900000000000001E-3</c:v>
                      </c:pt>
                      <c:pt idx="7">
                        <c:v>3.65E-3</c:v>
                      </c:pt>
                      <c:pt idx="8">
                        <c:v>7.1900000000000002E-3</c:v>
                      </c:pt>
                      <c:pt idx="9">
                        <c:v>1.5800000000000002E-2</c:v>
                      </c:pt>
                      <c:pt idx="10">
                        <c:v>2.8400000000000002E-2</c:v>
                      </c:pt>
                      <c:pt idx="11">
                        <c:v>6.6600000000000006E-2</c:v>
                      </c:pt>
                      <c:pt idx="12">
                        <c:v>0.20699999999999999</c:v>
                      </c:pt>
                      <c:pt idx="13">
                        <c:v>0.745</c:v>
                      </c:pt>
                      <c:pt idx="14">
                        <c:v>1.99</c:v>
                      </c:pt>
                      <c:pt idx="15">
                        <c:v>2.5099999999999998</c:v>
                      </c:pt>
                      <c:pt idx="16">
                        <c:v>3.47</c:v>
                      </c:pt>
                      <c:pt idx="17">
                        <c:v>3.38</c:v>
                      </c:pt>
                      <c:pt idx="18" formatCode="0.00">
                        <c:v>3.8</c:v>
                      </c:pt>
                      <c:pt idx="19">
                        <c:v>3.83</c:v>
                      </c:pt>
                      <c:pt idx="20">
                        <c:v>2.62</c:v>
                      </c:pt>
                      <c:pt idx="21">
                        <c:v>2.06</c:v>
                      </c:pt>
                      <c:pt idx="22">
                        <c:v>1.39</c:v>
                      </c:pt>
                      <c:pt idx="23">
                        <c:v>1.06</c:v>
                      </c:pt>
                      <c:pt idx="24">
                        <c:v>0.94099999999999995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B18-4320-A570-E64E40BAEC2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Sheet1!$E$12</c15:sqref>
                        </c15:formulaRef>
                      </c:ext>
                    </c:extLst>
                    <c:strCache>
                      <c:ptCount val="1"/>
                      <c:pt idx="0">
                        <c:v>VC(V)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Sheet1!$A$13:$A$38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Sheet1!$E$13:$E$37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1.02</c:v>
                      </c:pt>
                      <c:pt idx="1">
                        <c:v>1.02</c:v>
                      </c:pt>
                      <c:pt idx="2">
                        <c:v>1.02</c:v>
                      </c:pt>
                      <c:pt idx="3">
                        <c:v>1.02</c:v>
                      </c:pt>
                      <c:pt idx="4">
                        <c:v>1.03</c:v>
                      </c:pt>
                      <c:pt idx="5">
                        <c:v>1.01</c:v>
                      </c:pt>
                      <c:pt idx="6">
                        <c:v>1.04</c:v>
                      </c:pt>
                      <c:pt idx="7">
                        <c:v>1.03</c:v>
                      </c:pt>
                      <c:pt idx="8">
                        <c:v>1.04</c:v>
                      </c:pt>
                      <c:pt idx="9">
                        <c:v>1.02</c:v>
                      </c:pt>
                      <c:pt idx="10">
                        <c:v>1.05</c:v>
                      </c:pt>
                      <c:pt idx="11" formatCode="0.00">
                        <c:v>1.1000000000000001</c:v>
                      </c:pt>
                      <c:pt idx="12">
                        <c:v>1.21</c:v>
                      </c:pt>
                      <c:pt idx="13">
                        <c:v>1.48</c:v>
                      </c:pt>
                      <c:pt idx="14">
                        <c:v>2.4700000000000002</c:v>
                      </c:pt>
                      <c:pt idx="15">
                        <c:v>2.93</c:v>
                      </c:pt>
                      <c:pt idx="16">
                        <c:v>3.61</c:v>
                      </c:pt>
                      <c:pt idx="17">
                        <c:v>3.43</c:v>
                      </c:pt>
                      <c:pt idx="18">
                        <c:v>3.61</c:v>
                      </c:pt>
                      <c:pt idx="19" formatCode="0.00">
                        <c:v>3.3</c:v>
                      </c:pt>
                      <c:pt idx="20">
                        <c:v>1.83</c:v>
                      </c:pt>
                      <c:pt idx="21">
                        <c:v>1.1200000000000001</c:v>
                      </c:pt>
                      <c:pt idx="22">
                        <c:v>0.47199999999999998</c:v>
                      </c:pt>
                      <c:pt idx="23">
                        <c:v>0.155</c:v>
                      </c:pt>
                      <c:pt idx="24" formatCode="0.0000">
                        <c:v>0.05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B18-4320-A570-E64E40BAEC2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Sheet1!$F$12</c15:sqref>
                        </c15:formulaRef>
                      </c:ext>
                    </c:extLst>
                    <c:strCache>
                      <c:ptCount val="1"/>
                      <c:pt idx="0">
                        <c:v>I(A)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Sheet1!$A$13:$A$38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Sheet1!$F$13:$F$37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1.4201277955271565E-5</c:v>
                      </c:pt>
                      <c:pt idx="1">
                        <c:v>1.8849840255591053E-5</c:v>
                      </c:pt>
                      <c:pt idx="2">
                        <c:v>2.5718849840255592E-5</c:v>
                      </c:pt>
                      <c:pt idx="3">
                        <c:v>3.7539936102236424E-5</c:v>
                      </c:pt>
                      <c:pt idx="4">
                        <c:v>4.9999999999999996E-5</c:v>
                      </c:pt>
                      <c:pt idx="5">
                        <c:v>7.6357827476038347E-5</c:v>
                      </c:pt>
                      <c:pt idx="6">
                        <c:v>1.257188498402556E-4</c:v>
                      </c:pt>
                      <c:pt idx="7">
                        <c:v>1.7571884984025557E-4</c:v>
                      </c:pt>
                      <c:pt idx="8">
                        <c:v>2.5239616613418535E-4</c:v>
                      </c:pt>
                      <c:pt idx="9">
                        <c:v>3.6900958466453673E-4</c:v>
                      </c:pt>
                      <c:pt idx="10">
                        <c:v>4.9680511182108626E-4</c:v>
                      </c:pt>
                      <c:pt idx="11">
                        <c:v>7.7795527156549523E-4</c:v>
                      </c:pt>
                      <c:pt idx="12">
                        <c:v>1.4057507987220445E-3</c:v>
                      </c:pt>
                      <c:pt idx="13">
                        <c:v>2.4440894568690096E-3</c:v>
                      </c:pt>
                      <c:pt idx="14">
                        <c:v>8.0191693290734816E-3</c:v>
                      </c:pt>
                      <c:pt idx="15">
                        <c:v>9.2332268370607026E-3</c:v>
                      </c:pt>
                      <c:pt idx="16">
                        <c:v>1.1246006389776356E-2</c:v>
                      </c:pt>
                      <c:pt idx="17">
                        <c:v>1.086261980830671E-2</c:v>
                      </c:pt>
                      <c:pt idx="18">
                        <c:v>1.1501597444089457E-2</c:v>
                      </c:pt>
                      <c:pt idx="19">
                        <c:v>1.086261980830671E-2</c:v>
                      </c:pt>
                      <c:pt idx="20">
                        <c:v>7.0607028753993609E-3</c:v>
                      </c:pt>
                      <c:pt idx="21">
                        <c:v>5.6869009584664528E-3</c:v>
                      </c:pt>
                      <c:pt idx="22">
                        <c:v>2.0607028753993608E-3</c:v>
                      </c:pt>
                      <c:pt idx="23">
                        <c:v>1.0926517571884984E-3</c:v>
                      </c:pt>
                      <c:pt idx="24">
                        <c:v>5.6230031948881795E-4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B18-4320-A570-E64E40BAEC2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Sheet1!$G$12</c15:sqref>
                        </c15:formulaRef>
                      </c:ext>
                    </c:extLst>
                    <c:strCache>
                      <c:ptCount val="1"/>
                      <c:pt idx="0">
                        <c:v>XＬ(Ω)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Sheet1!$A$13:$A$38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Sheet1!$G$13:$G$37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110.55343082114736</c:v>
                      </c:pt>
                      <c:pt idx="1">
                        <c:v>81.698305084745769</c:v>
                      </c:pt>
                      <c:pt idx="2">
                        <c:v>59.100621118012427</c:v>
                      </c:pt>
                      <c:pt idx="3">
                        <c:v>39.957446808510639</c:v>
                      </c:pt>
                      <c:pt idx="4">
                        <c:v>30.400000000000006</c:v>
                      </c:pt>
                      <c:pt idx="5">
                        <c:v>22.394560669456062</c:v>
                      </c:pt>
                      <c:pt idx="6">
                        <c:v>17.419822109275731</c:v>
                      </c:pt>
                      <c:pt idx="7">
                        <c:v>20.771818181818183</c:v>
                      </c:pt>
                      <c:pt idx="8">
                        <c:v>28.486962025316451</c:v>
                      </c:pt>
                      <c:pt idx="9">
                        <c:v>42.817316017316024</c:v>
                      </c:pt>
                      <c:pt idx="10">
                        <c:v>57.16527331189711</c:v>
                      </c:pt>
                      <c:pt idx="11">
                        <c:v>85.609034907597547</c:v>
                      </c:pt>
                      <c:pt idx="12">
                        <c:v>147.25227272727273</c:v>
                      </c:pt>
                      <c:pt idx="13">
                        <c:v>304.8169934640523</c:v>
                      </c:pt>
                      <c:pt idx="14">
                        <c:v>248.15537848605581</c:v>
                      </c:pt>
                      <c:pt idx="15">
                        <c:v>271.84429065743944</c:v>
                      </c:pt>
                      <c:pt idx="16">
                        <c:v>308.55397727272731</c:v>
                      </c:pt>
                      <c:pt idx="17">
                        <c:v>311.15882352941173</c:v>
                      </c:pt>
                      <c:pt idx="18">
                        <c:v>330.38888888888886</c:v>
                      </c:pt>
                      <c:pt idx="19">
                        <c:v>352.58529411764704</c:v>
                      </c:pt>
                      <c:pt idx="20">
                        <c:v>371.06787330316746</c:v>
                      </c:pt>
                      <c:pt idx="21">
                        <c:v>362.23595505617982</c:v>
                      </c:pt>
                      <c:pt idx="22">
                        <c:v>674.52713178294573</c:v>
                      </c:pt>
                      <c:pt idx="23">
                        <c:v>970.1169590643276</c:v>
                      </c:pt>
                      <c:pt idx="24">
                        <c:v>1673.4829545454543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B18-4320-A570-E64E40BAEC2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Sheet1!$H$12</c15:sqref>
                        </c15:formulaRef>
                      </c:ext>
                    </c:extLst>
                    <c:strCache>
                      <c:ptCount val="1"/>
                      <c:pt idx="0">
                        <c:v>XC(Ω)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Sheet1!$A$13:$A$38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Sheet1!$H$13:$H$37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71824.521934758159</c:v>
                      </c:pt>
                      <c:pt idx="1">
                        <c:v>54111.864406779663</c:v>
                      </c:pt>
                      <c:pt idx="2">
                        <c:v>39659.627329192546</c:v>
                      </c:pt>
                      <c:pt idx="3">
                        <c:v>27171.063829787232</c:v>
                      </c:pt>
                      <c:pt idx="4">
                        <c:v>20600.000000000004</c:v>
                      </c:pt>
                      <c:pt idx="5">
                        <c:v>13227.196652719664</c:v>
                      </c:pt>
                      <c:pt idx="6">
                        <c:v>8272.4269377382461</c:v>
                      </c:pt>
                      <c:pt idx="7">
                        <c:v>5861.6363636363649</c:v>
                      </c:pt>
                      <c:pt idx="8">
                        <c:v>4120.5063291139231</c:v>
                      </c:pt>
                      <c:pt idx="9">
                        <c:v>2764.1558441558441</c:v>
                      </c:pt>
                      <c:pt idx="10">
                        <c:v>2113.5048231511255</c:v>
                      </c:pt>
                      <c:pt idx="11">
                        <c:v>1413.9630390143739</c:v>
                      </c:pt>
                      <c:pt idx="12">
                        <c:v>860.75000000000011</c:v>
                      </c:pt>
                      <c:pt idx="13">
                        <c:v>605.54248366013076</c:v>
                      </c:pt>
                      <c:pt idx="14">
                        <c:v>308.01195219123514</c:v>
                      </c:pt>
                      <c:pt idx="15">
                        <c:v>317.33217993079586</c:v>
                      </c:pt>
                      <c:pt idx="16">
                        <c:v>321.00284090909093</c:v>
                      </c:pt>
                      <c:pt idx="17">
                        <c:v>315.76176470588234</c:v>
                      </c:pt>
                      <c:pt idx="18">
                        <c:v>313.86944444444441</c:v>
                      </c:pt>
                      <c:pt idx="19">
                        <c:v>303.79411764705878</c:v>
                      </c:pt>
                      <c:pt idx="20">
                        <c:v>259.18099547511315</c:v>
                      </c:pt>
                      <c:pt idx="21">
                        <c:v>196.94382022471916</c:v>
                      </c:pt>
                      <c:pt idx="22">
                        <c:v>229.04806201550389</c:v>
                      </c:pt>
                      <c:pt idx="23">
                        <c:v>141.85672514619884</c:v>
                      </c:pt>
                      <c:pt idx="24">
                        <c:v>88.920454545454547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B18-4320-A570-E64E40BAEC2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Sheet1!$I$12</c15:sqref>
                        </c15:formulaRef>
                      </c:ext>
                    </c:extLst>
                    <c:strCache>
                      <c:ptCount val="1"/>
                      <c:pt idx="0">
                        <c:v>|Z|(Ω)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Sheet1!$A$13:$A$38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Sheet1!$I$13:$I$37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71713.968503937009</c:v>
                      </c:pt>
                      <c:pt idx="1">
                        <c:v>54030.166101694915</c:v>
                      </c:pt>
                      <c:pt idx="2">
                        <c:v>39600.526708074533</c:v>
                      </c:pt>
                      <c:pt idx="3">
                        <c:v>27131.10638297872</c:v>
                      </c:pt>
                      <c:pt idx="4">
                        <c:v>20569.600000000002</c:v>
                      </c:pt>
                      <c:pt idx="5">
                        <c:v>13204.802092050208</c:v>
                      </c:pt>
                      <c:pt idx="6">
                        <c:v>8255.0071156289705</c:v>
                      </c:pt>
                      <c:pt idx="7">
                        <c:v>5840.8645454545467</c:v>
                      </c:pt>
                      <c:pt idx="8">
                        <c:v>4092.0193670886065</c:v>
                      </c:pt>
                      <c:pt idx="9">
                        <c:v>2721.3385281385281</c:v>
                      </c:pt>
                      <c:pt idx="10">
                        <c:v>2056.3395498392283</c:v>
                      </c:pt>
                      <c:pt idx="11">
                        <c:v>1328.3540041067763</c:v>
                      </c:pt>
                      <c:pt idx="12">
                        <c:v>713.49772727272739</c:v>
                      </c:pt>
                      <c:pt idx="13">
                        <c:v>300.72549019607845</c:v>
                      </c:pt>
                      <c:pt idx="14">
                        <c:v>59.856573705179329</c:v>
                      </c:pt>
                      <c:pt idx="15">
                        <c:v>45.487889273356416</c:v>
                      </c:pt>
                      <c:pt idx="16">
                        <c:v>12.448863636363626</c:v>
                      </c:pt>
                      <c:pt idx="17">
                        <c:v>4.6029411764706083</c:v>
                      </c:pt>
                      <c:pt idx="18">
                        <c:v>16.519444444444446</c:v>
                      </c:pt>
                      <c:pt idx="19">
                        <c:v>48.791176470588255</c:v>
                      </c:pt>
                      <c:pt idx="20">
                        <c:v>111.88687782805431</c:v>
                      </c:pt>
                      <c:pt idx="21">
                        <c:v>165.29213483146066</c:v>
                      </c:pt>
                      <c:pt idx="22">
                        <c:v>445.47906976744184</c:v>
                      </c:pt>
                      <c:pt idx="23">
                        <c:v>828.26023391812873</c:v>
                      </c:pt>
                      <c:pt idx="24">
                        <c:v>1584.5624999999998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B18-4320-A570-E64E40BAEC28}"/>
                  </c:ext>
                </c:extLst>
              </c15:ser>
            </c15:filteredScatterSeries>
          </c:ext>
        </c:extLst>
      </c:scatterChart>
      <c:valAx>
        <c:axId val="222638448"/>
        <c:scaling>
          <c:logBase val="10"/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2640528"/>
        <c:crosses val="autoZero"/>
        <c:crossBetween val="midCat"/>
      </c:valAx>
      <c:valAx>
        <c:axId val="22264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263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43328958880132"/>
          <c:y val="0.90335593467483233"/>
          <c:w val="0.12285819543332306"/>
          <c:h val="5.1344759091896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並列共振回路　</a:t>
            </a:r>
            <a:r>
              <a:rPr lang="en-US" altLang="ja-JP"/>
              <a:t>f-|Z|</a:t>
            </a:r>
            <a:r>
              <a:rPr lang="ja-JP" altLang="en-US"/>
              <a:t>特性グラフ</a:t>
            </a:r>
            <a:endParaRPr lang="en-US" altLang="ja-JP"/>
          </a:p>
        </c:rich>
      </c:tx>
      <c:layout>
        <c:manualLayout>
          <c:xMode val="edge"/>
          <c:yMode val="edge"/>
          <c:x val="0.29845380971881219"/>
          <c:y val="3.005303058388857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Sheet1!$G$41</c:f>
              <c:strCache>
                <c:ptCount val="1"/>
                <c:pt idx="0">
                  <c:v>|Z|(Ω)</c:v>
                </c:pt>
              </c:strCache>
            </c:strRef>
          </c:tx>
          <c:xVal>
            <c:numRef>
              <c:f>Sheet1!$B$42:$B$57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  <c:pt idx="7">
                  <c:v>7000</c:v>
                </c:pt>
                <c:pt idx="8">
                  <c:v>7700</c:v>
                </c:pt>
                <c:pt idx="9">
                  <c:v>10000</c:v>
                </c:pt>
                <c:pt idx="10">
                  <c:v>10900</c:v>
                </c:pt>
                <c:pt idx="11">
                  <c:v>12000</c:v>
                </c:pt>
                <c:pt idx="12">
                  <c:v>15000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</c:numCache>
            </c:numRef>
          </c:xVal>
          <c:yVal>
            <c:numRef>
              <c:f>Sheet1!$G$42:$G$57</c:f>
              <c:numCache>
                <c:formatCode>General</c:formatCode>
                <c:ptCount val="16"/>
                <c:pt idx="0">
                  <c:v>3.0439163916391639E-6</c:v>
                </c:pt>
                <c:pt idx="1">
                  <c:v>4.6883404255319156E-6</c:v>
                </c:pt>
                <c:pt idx="2">
                  <c:v>8.7019396551724127E-6</c:v>
                </c:pt>
                <c:pt idx="3">
                  <c:v>2.0985227272727273E-5</c:v>
                </c:pt>
                <c:pt idx="4">
                  <c:v>4.1541392904073596E-5</c:v>
                </c:pt>
                <c:pt idx="5">
                  <c:v>8.2204270462633451E-5</c:v>
                </c:pt>
                <c:pt idx="6">
                  <c:v>2.1435019455252923E-4</c:v>
                </c:pt>
                <c:pt idx="7">
                  <c:v>2.3541880341880337E-4</c:v>
                </c:pt>
                <c:pt idx="8">
                  <c:v>2.4710526315789474E-4</c:v>
                </c:pt>
                <c:pt idx="9">
                  <c:v>2.5040000000000001E-4</c:v>
                </c:pt>
                <c:pt idx="10">
                  <c:v>2.3735833333333339E-4</c:v>
                </c:pt>
                <c:pt idx="11">
                  <c:v>2.2894435483870973E-4</c:v>
                </c:pt>
                <c:pt idx="12" formatCode="0.0000000">
                  <c:v>2.0027544483985766E-4</c:v>
                </c:pt>
                <c:pt idx="13">
                  <c:v>1.5413277310924369E-4</c:v>
                </c:pt>
                <c:pt idx="14">
                  <c:v>1.0753692946058092E-4</c:v>
                </c:pt>
                <c:pt idx="15">
                  <c:v>6.6011192930780552E-5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35-4FC3-B25C-00540E92B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399152"/>
        <c:axId val="47925568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Sheet1!$G$41</c15:sqref>
                        </c15:formulaRef>
                      </c:ext>
                    </c:extLst>
                    <c:strCache>
                      <c:ptCount val="1"/>
                      <c:pt idx="0">
                        <c:v>|Z|(Ω)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Sheet1!$B$42:$B$57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500</c:v>
                      </c:pt>
                      <c:pt idx="4">
                        <c:v>1000</c:v>
                      </c:pt>
                      <c:pt idx="5">
                        <c:v>2000</c:v>
                      </c:pt>
                      <c:pt idx="6">
                        <c:v>5000</c:v>
                      </c:pt>
                      <c:pt idx="7">
                        <c:v>7000</c:v>
                      </c:pt>
                      <c:pt idx="8">
                        <c:v>7700</c:v>
                      </c:pt>
                      <c:pt idx="9">
                        <c:v>10000</c:v>
                      </c:pt>
                      <c:pt idx="10">
                        <c:v>10900</c:v>
                      </c:pt>
                      <c:pt idx="11">
                        <c:v>12000</c:v>
                      </c:pt>
                      <c:pt idx="12">
                        <c:v>15000</c:v>
                      </c:pt>
                      <c:pt idx="13">
                        <c:v>20000</c:v>
                      </c:pt>
                      <c:pt idx="14">
                        <c:v>30000</c:v>
                      </c:pt>
                      <c:pt idx="15">
                        <c:v>50000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Sheet1!$G$42:$G$57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3.0439163916391639E-6</c:v>
                      </c:pt>
                      <c:pt idx="1">
                        <c:v>4.6883404255319156E-6</c:v>
                      </c:pt>
                      <c:pt idx="2">
                        <c:v>8.7019396551724127E-6</c:v>
                      </c:pt>
                      <c:pt idx="3">
                        <c:v>2.0985227272727273E-5</c:v>
                      </c:pt>
                      <c:pt idx="4">
                        <c:v>4.1541392904073596E-5</c:v>
                      </c:pt>
                      <c:pt idx="5">
                        <c:v>8.2204270462633451E-5</c:v>
                      </c:pt>
                      <c:pt idx="6">
                        <c:v>2.1435019455252923E-4</c:v>
                      </c:pt>
                      <c:pt idx="7">
                        <c:v>2.3541880341880337E-4</c:v>
                      </c:pt>
                      <c:pt idx="8">
                        <c:v>2.4710526315789474E-4</c:v>
                      </c:pt>
                      <c:pt idx="9">
                        <c:v>2.5040000000000001E-4</c:v>
                      </c:pt>
                      <c:pt idx="10">
                        <c:v>2.3735833333333339E-4</c:v>
                      </c:pt>
                      <c:pt idx="11">
                        <c:v>2.2894435483870973E-4</c:v>
                      </c:pt>
                      <c:pt idx="12" formatCode="0.0000000">
                        <c:v>2.0027544483985766E-4</c:v>
                      </c:pt>
                      <c:pt idx="13">
                        <c:v>1.5413277310924369E-4</c:v>
                      </c:pt>
                      <c:pt idx="14">
                        <c:v>1.0753692946058092E-4</c:v>
                      </c:pt>
                      <c:pt idx="15">
                        <c:v>6.6011192930780552E-5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A35-4FC3-B25C-00540E92B6C9}"/>
                  </c:ext>
                </c:extLst>
              </c15:ser>
            </c15:filteredScatterSeries>
          </c:ext>
        </c:extLst>
      </c:scatterChart>
      <c:valAx>
        <c:axId val="1039399152"/>
        <c:scaling>
          <c:logBase val="10"/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9255680"/>
        <c:crosses val="autoZero"/>
        <c:crossBetween val="midCat"/>
      </c:valAx>
      <c:valAx>
        <c:axId val="47925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39915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並列共振回路　</a:t>
            </a:r>
            <a:r>
              <a:rPr lang="en-US" altLang="ja-JP"/>
              <a:t>f-|Y|</a:t>
            </a:r>
            <a:r>
              <a:rPr lang="ja-JP" altLang="en-US"/>
              <a:t>特性グラフ</a:t>
            </a:r>
            <a:endParaRPr lang="en-US" altLang="ja-JP"/>
          </a:p>
        </c:rich>
      </c:tx>
      <c:layout>
        <c:manualLayout>
          <c:xMode val="edge"/>
          <c:yMode val="edge"/>
          <c:x val="0.29845380971881219"/>
          <c:y val="3.005303058388857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tx>
            <c:strRef>
              <c:f>Sheet1!$F$41</c:f>
              <c:strCache>
                <c:ptCount val="1"/>
                <c:pt idx="0">
                  <c:v>|Y|(S）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Sheet1!$B$42:$B$57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  <c:pt idx="7">
                  <c:v>7000</c:v>
                </c:pt>
                <c:pt idx="8">
                  <c:v>7700</c:v>
                </c:pt>
                <c:pt idx="9">
                  <c:v>10000</c:v>
                </c:pt>
                <c:pt idx="10">
                  <c:v>10900</c:v>
                </c:pt>
                <c:pt idx="11">
                  <c:v>12000</c:v>
                </c:pt>
                <c:pt idx="12">
                  <c:v>15000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</c:numCache>
            </c:numRef>
          </c:xVal>
          <c:yVal>
            <c:numRef>
              <c:f>Sheet1!$F$42:$F$57</c:f>
              <c:numCache>
                <c:formatCode>General</c:formatCode>
                <c:ptCount val="16"/>
                <c:pt idx="0">
                  <c:v>328524.13513943303</c:v>
                </c:pt>
                <c:pt idx="1">
                  <c:v>213295.09148997962</c:v>
                </c:pt>
                <c:pt idx="2">
                  <c:v>114916.90814077322</c:v>
                </c:pt>
                <c:pt idx="3">
                  <c:v>47652.569448204908</c:v>
                </c:pt>
                <c:pt idx="4">
                  <c:v>24072.375288647072</c:v>
                </c:pt>
                <c:pt idx="5">
                  <c:v>12164.818133804341</c:v>
                </c:pt>
                <c:pt idx="6">
                  <c:v>4665.2628521638098</c:v>
                </c:pt>
                <c:pt idx="7">
                  <c:v>4247.7490560557662</c:v>
                </c:pt>
                <c:pt idx="8" formatCode="0.000000">
                  <c:v>4046.8583599574013</c:v>
                </c:pt>
                <c:pt idx="9">
                  <c:v>3993.6102236421725</c:v>
                </c:pt>
                <c:pt idx="10">
                  <c:v>4213.0393568093241</c:v>
                </c:pt>
                <c:pt idx="11">
                  <c:v>4367.873585284492</c:v>
                </c:pt>
                <c:pt idx="12" formatCode="0.000000">
                  <c:v>4993.1233496927716</c:v>
                </c:pt>
                <c:pt idx="13">
                  <c:v>6487.9128547906967</c:v>
                </c:pt>
                <c:pt idx="14">
                  <c:v>9299.1310521523046</c:v>
                </c:pt>
                <c:pt idx="15">
                  <c:v>15148.946043871705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1B-48DB-8B3F-8240E1344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399152"/>
        <c:axId val="4792556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Sheet1!$G$41</c15:sqref>
                        </c15:formulaRef>
                      </c:ext>
                    </c:extLst>
                    <c:strCache>
                      <c:ptCount val="1"/>
                      <c:pt idx="0">
                        <c:v>|Z|(Ω)</c:v>
                      </c:pt>
                    </c:strCache>
                  </c:strRef>
                </c:tx>
                <c:xVal>
                  <c:numRef>
                    <c:extLst>
                      <c:ext uri="{02D57815-91ED-43cb-92C2-25804820EDAC}">
                        <c15:formulaRef>
                          <c15:sqref>Sheet1!$B$42:$B$57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500</c:v>
                      </c:pt>
                      <c:pt idx="4">
                        <c:v>1000</c:v>
                      </c:pt>
                      <c:pt idx="5">
                        <c:v>2000</c:v>
                      </c:pt>
                      <c:pt idx="6">
                        <c:v>5000</c:v>
                      </c:pt>
                      <c:pt idx="7">
                        <c:v>7000</c:v>
                      </c:pt>
                      <c:pt idx="8">
                        <c:v>7700</c:v>
                      </c:pt>
                      <c:pt idx="9">
                        <c:v>10000</c:v>
                      </c:pt>
                      <c:pt idx="10">
                        <c:v>10900</c:v>
                      </c:pt>
                      <c:pt idx="11">
                        <c:v>12000</c:v>
                      </c:pt>
                      <c:pt idx="12">
                        <c:v>15000</c:v>
                      </c:pt>
                      <c:pt idx="13">
                        <c:v>20000</c:v>
                      </c:pt>
                      <c:pt idx="14">
                        <c:v>30000</c:v>
                      </c:pt>
                      <c:pt idx="15">
                        <c:v>50000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Sheet1!$G$42:$G$57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3.0439163916391639E-6</c:v>
                      </c:pt>
                      <c:pt idx="1">
                        <c:v>4.6883404255319156E-6</c:v>
                      </c:pt>
                      <c:pt idx="2">
                        <c:v>8.7019396551724127E-6</c:v>
                      </c:pt>
                      <c:pt idx="3">
                        <c:v>2.0985227272727273E-5</c:v>
                      </c:pt>
                      <c:pt idx="4">
                        <c:v>4.1541392904073596E-5</c:v>
                      </c:pt>
                      <c:pt idx="5">
                        <c:v>8.2204270462633451E-5</c:v>
                      </c:pt>
                      <c:pt idx="6">
                        <c:v>2.1435019455252923E-4</c:v>
                      </c:pt>
                      <c:pt idx="7">
                        <c:v>2.3541880341880337E-4</c:v>
                      </c:pt>
                      <c:pt idx="8">
                        <c:v>2.4710526315789474E-4</c:v>
                      </c:pt>
                      <c:pt idx="9">
                        <c:v>2.5040000000000001E-4</c:v>
                      </c:pt>
                      <c:pt idx="10">
                        <c:v>2.3735833333333339E-4</c:v>
                      </c:pt>
                      <c:pt idx="11">
                        <c:v>2.2894435483870973E-4</c:v>
                      </c:pt>
                      <c:pt idx="12" formatCode="0.0000000">
                        <c:v>2.0027544483985766E-4</c:v>
                      </c:pt>
                      <c:pt idx="13">
                        <c:v>1.5413277310924369E-4</c:v>
                      </c:pt>
                      <c:pt idx="14">
                        <c:v>1.0753692946058092E-4</c:v>
                      </c:pt>
                      <c:pt idx="15">
                        <c:v>6.6011192930780552E-5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71B-48DB-8B3F-8240E13448E4}"/>
                  </c:ext>
                </c:extLst>
              </c15:ser>
            </c15:filteredScatterSeries>
          </c:ext>
        </c:extLst>
      </c:scatterChart>
      <c:valAx>
        <c:axId val="1039399152"/>
        <c:scaling>
          <c:logBase val="10"/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9255680"/>
        <c:crosses val="autoZero"/>
        <c:crossBetween val="midCat"/>
      </c:valAx>
      <c:valAx>
        <c:axId val="47925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39915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直列共振回路　</a:t>
            </a:r>
            <a:r>
              <a:rPr lang="en-US" altLang="ja-JP" sz="1800" b="0" i="0" baseline="0">
                <a:effectLst/>
              </a:rPr>
              <a:t>f-|Z|</a:t>
            </a:r>
            <a:r>
              <a:rPr lang="ja-JP" altLang="ja-JP" sz="1800" b="0" i="0" baseline="0">
                <a:effectLst/>
              </a:rPr>
              <a:t>特性グラフ</a:t>
            </a:r>
            <a:endParaRPr lang="ja-JP" altLang="ja-JP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Sheet1!$I$12</c:f>
              <c:strCache>
                <c:ptCount val="1"/>
                <c:pt idx="0">
                  <c:v>|Z|(Ω)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Sheet1!$B$13:$B$37</c:f>
              <c:numCache>
                <c:formatCode>General</c:formatCode>
                <c:ptCount val="25"/>
                <c:pt idx="0">
                  <c:v>50</c:v>
                </c:pt>
                <c:pt idx="1">
                  <c:v>70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500</c:v>
                </c:pt>
                <c:pt idx="7">
                  <c:v>700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9000</c:v>
                </c:pt>
                <c:pt idx="15">
                  <c:v>9400</c:v>
                </c:pt>
                <c:pt idx="16">
                  <c:v>9800</c:v>
                </c:pt>
                <c:pt idx="17">
                  <c:v>9900</c:v>
                </c:pt>
                <c:pt idx="18">
                  <c:v>10200</c:v>
                </c:pt>
                <c:pt idx="19">
                  <c:v>11000</c:v>
                </c:pt>
                <c:pt idx="20">
                  <c:v>13000</c:v>
                </c:pt>
                <c:pt idx="21">
                  <c:v>15000</c:v>
                </c:pt>
                <c:pt idx="22">
                  <c:v>20000</c:v>
                </c:pt>
                <c:pt idx="23">
                  <c:v>30000</c:v>
                </c:pt>
                <c:pt idx="24">
                  <c:v>50000</c:v>
                </c:pt>
              </c:numCache>
            </c:numRef>
          </c:xVal>
          <c:yVal>
            <c:numRef>
              <c:f>Sheet1!$I$13:$I$37</c:f>
              <c:numCache>
                <c:formatCode>General</c:formatCode>
                <c:ptCount val="25"/>
                <c:pt idx="0">
                  <c:v>71713.968503937009</c:v>
                </c:pt>
                <c:pt idx="1">
                  <c:v>54030.166101694915</c:v>
                </c:pt>
                <c:pt idx="2">
                  <c:v>39600.526708074533</c:v>
                </c:pt>
                <c:pt idx="3">
                  <c:v>27131.10638297872</c:v>
                </c:pt>
                <c:pt idx="4">
                  <c:v>20569.600000000002</c:v>
                </c:pt>
                <c:pt idx="5">
                  <c:v>13204.802092050208</c:v>
                </c:pt>
                <c:pt idx="6">
                  <c:v>8255.0071156289705</c:v>
                </c:pt>
                <c:pt idx="7">
                  <c:v>5840.8645454545467</c:v>
                </c:pt>
                <c:pt idx="8">
                  <c:v>4092.0193670886065</c:v>
                </c:pt>
                <c:pt idx="9">
                  <c:v>2721.3385281385281</c:v>
                </c:pt>
                <c:pt idx="10">
                  <c:v>2056.3395498392283</c:v>
                </c:pt>
                <c:pt idx="11">
                  <c:v>1328.3540041067763</c:v>
                </c:pt>
                <c:pt idx="12">
                  <c:v>713.49772727272739</c:v>
                </c:pt>
                <c:pt idx="13">
                  <c:v>300.72549019607845</c:v>
                </c:pt>
                <c:pt idx="14">
                  <c:v>59.856573705179329</c:v>
                </c:pt>
                <c:pt idx="15">
                  <c:v>45.487889273356416</c:v>
                </c:pt>
                <c:pt idx="16">
                  <c:v>12.448863636363626</c:v>
                </c:pt>
                <c:pt idx="17">
                  <c:v>4.6029411764706083</c:v>
                </c:pt>
                <c:pt idx="18">
                  <c:v>16.519444444444446</c:v>
                </c:pt>
                <c:pt idx="19">
                  <c:v>48.791176470588255</c:v>
                </c:pt>
                <c:pt idx="20">
                  <c:v>111.88687782805431</c:v>
                </c:pt>
                <c:pt idx="21">
                  <c:v>165.29213483146066</c:v>
                </c:pt>
                <c:pt idx="22">
                  <c:v>445.47906976744184</c:v>
                </c:pt>
                <c:pt idx="23">
                  <c:v>828.26023391812873</c:v>
                </c:pt>
                <c:pt idx="24">
                  <c:v>1584.5624999999998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E-44F0-9372-3BBD16B2F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088576"/>
        <c:axId val="2024098560"/>
      </c:scatterChart>
      <c:valAx>
        <c:axId val="2024088576"/>
        <c:scaling>
          <c:logBase val="10"/>
          <c:orientation val="minMax"/>
          <c:min val="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4098560"/>
        <c:crosses val="autoZero"/>
        <c:crossBetween val="midCat"/>
      </c:valAx>
      <c:valAx>
        <c:axId val="202409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4088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71717</xdr:colOff>
      <xdr:row>13</xdr:row>
      <xdr:rowOff>58710</xdr:rowOff>
    </xdr:from>
    <xdr:to>
      <xdr:col>20</xdr:col>
      <xdr:colOff>414619</xdr:colOff>
      <xdr:row>30</xdr:row>
      <xdr:rowOff>184604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61E4757-0A08-4034-8802-1F8AEDA3F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113739</xdr:colOff>
      <xdr:row>39</xdr:row>
      <xdr:rowOff>224118</xdr:rowOff>
    </xdr:from>
    <xdr:to>
      <xdr:col>17</xdr:col>
      <xdr:colOff>387723</xdr:colOff>
      <xdr:row>56</xdr:row>
      <xdr:rowOff>26895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870375E-1428-4CB4-9E72-03C4D3CA4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156882</xdr:colOff>
      <xdr:row>40</xdr:row>
      <xdr:rowOff>22411</xdr:rowOff>
    </xdr:from>
    <xdr:to>
      <xdr:col>27</xdr:col>
      <xdr:colOff>117101</xdr:colOff>
      <xdr:row>56</xdr:row>
      <xdr:rowOff>60511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9231A69-0060-41B1-89E7-EB43A7597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571502</xdr:colOff>
      <xdr:row>13</xdr:row>
      <xdr:rowOff>63954</xdr:rowOff>
    </xdr:from>
    <xdr:to>
      <xdr:col>31</xdr:col>
      <xdr:colOff>108857</xdr:colOff>
      <xdr:row>30</xdr:row>
      <xdr:rowOff>217714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F22C17F-75D5-40F2-82F8-DB7BFD285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12CE-0341-47F8-9161-4CB95148B246}">
  <dimension ref="A2:O57"/>
  <sheetViews>
    <sheetView tabSelected="1" zoomScaleNormal="100" workbookViewId="0">
      <selection activeCell="N12" sqref="N12"/>
    </sheetView>
  </sheetViews>
  <sheetFormatPr defaultRowHeight="18.75" x14ac:dyDescent="0.4"/>
  <cols>
    <col min="6" max="6" width="13.375" bestFit="1" customWidth="1"/>
    <col min="7" max="7" width="10" bestFit="1" customWidth="1"/>
    <col min="10" max="10" width="13.375" bestFit="1" customWidth="1"/>
    <col min="11" max="11" width="9.375" bestFit="1" customWidth="1"/>
    <col min="12" max="12" width="12.375" customWidth="1"/>
    <col min="15" max="15" width="13.375" bestFit="1" customWidth="1"/>
  </cols>
  <sheetData>
    <row r="2" spans="1:15" x14ac:dyDescent="0.4">
      <c r="A2" t="s">
        <v>23</v>
      </c>
      <c r="B2" t="s">
        <v>21</v>
      </c>
      <c r="C2" t="s">
        <v>22</v>
      </c>
      <c r="M2" t="s">
        <v>30</v>
      </c>
      <c r="N2" t="s">
        <v>29</v>
      </c>
    </row>
    <row r="3" spans="1:15" x14ac:dyDescent="0.4">
      <c r="A3" s="4" t="s">
        <v>1</v>
      </c>
      <c r="B3" s="5" t="s">
        <v>0</v>
      </c>
      <c r="C3" s="6" t="s">
        <v>2</v>
      </c>
      <c r="D3" s="7" t="s">
        <v>3</v>
      </c>
      <c r="E3" s="7"/>
      <c r="F3" s="7"/>
      <c r="L3" t="s">
        <v>35</v>
      </c>
      <c r="M3">
        <f>1/(2*PI())*SQRT(1/(B4*10^-3*C4*10^-9)-A4^2/(B4*10^-3)^2)</f>
        <v>10937.374084833582</v>
      </c>
      <c r="N3">
        <f>1/(2*PI()*SQRT(B4*10^-3*C4*10^-9))</f>
        <v>10938.083647526051</v>
      </c>
      <c r="O3">
        <f>N3/1000</f>
        <v>10.938083647526051</v>
      </c>
    </row>
    <row r="4" spans="1:15" x14ac:dyDescent="0.4">
      <c r="A4" s="7">
        <v>3.46</v>
      </c>
      <c r="B4" s="7">
        <v>4.42</v>
      </c>
      <c r="C4" s="7">
        <v>47.9</v>
      </c>
      <c r="D4" s="1">
        <v>50.8</v>
      </c>
      <c r="E4" s="2"/>
      <c r="F4" s="3"/>
      <c r="L4" t="s">
        <v>40</v>
      </c>
      <c r="M4">
        <v>10000</v>
      </c>
      <c r="N4">
        <v>9900</v>
      </c>
    </row>
    <row r="5" spans="1:15" x14ac:dyDescent="0.4">
      <c r="L5" t="s">
        <v>38</v>
      </c>
      <c r="M5" t="s">
        <v>39</v>
      </c>
      <c r="N5">
        <f>F30/SQRT(2)</f>
        <v>7.6810321279049895E-3</v>
      </c>
    </row>
    <row r="6" spans="1:15" x14ac:dyDescent="0.4">
      <c r="A6" t="s">
        <v>4</v>
      </c>
      <c r="B6" t="s">
        <v>6</v>
      </c>
      <c r="C6" t="s">
        <v>8</v>
      </c>
      <c r="D6" t="s">
        <v>9</v>
      </c>
      <c r="G6" t="s">
        <v>31</v>
      </c>
      <c r="H6" t="s">
        <v>34</v>
      </c>
      <c r="L6" t="s">
        <v>43</v>
      </c>
      <c r="M6">
        <f>G51/SQRT(2)</f>
        <v>1.7705953800911149E-4</v>
      </c>
    </row>
    <row r="7" spans="1:15" x14ac:dyDescent="0.4">
      <c r="A7" t="s">
        <v>5</v>
      </c>
      <c r="B7" t="s">
        <v>7</v>
      </c>
      <c r="C7" s="8">
        <v>0.35</v>
      </c>
      <c r="D7" s="10" t="s">
        <v>10</v>
      </c>
      <c r="F7" t="s">
        <v>32</v>
      </c>
      <c r="G7">
        <f>F30/SQRT(2)</f>
        <v>7.6810321279049895E-3</v>
      </c>
      <c r="H7">
        <f>B33-9200</f>
        <v>3800</v>
      </c>
      <c r="L7" t="s">
        <v>37</v>
      </c>
      <c r="N7">
        <v>9200</v>
      </c>
    </row>
    <row r="8" spans="1:15" x14ac:dyDescent="0.4">
      <c r="F8" t="s">
        <v>33</v>
      </c>
      <c r="G8">
        <f>G51/SQRT(2)</f>
        <v>1.7705953800911149E-4</v>
      </c>
      <c r="L8" t="s">
        <v>41</v>
      </c>
      <c r="N8">
        <v>13000</v>
      </c>
    </row>
    <row r="9" spans="1:15" x14ac:dyDescent="0.4">
      <c r="A9" t="s">
        <v>11</v>
      </c>
      <c r="L9" t="s">
        <v>44</v>
      </c>
      <c r="M9">
        <f>M8-M7</f>
        <v>0</v>
      </c>
      <c r="N9">
        <f>N8-N7</f>
        <v>3800</v>
      </c>
    </row>
    <row r="10" spans="1:15" x14ac:dyDescent="0.4">
      <c r="A10" s="9" t="s">
        <v>12</v>
      </c>
      <c r="B10">
        <v>62.6</v>
      </c>
      <c r="C10" t="s">
        <v>23</v>
      </c>
      <c r="L10" t="s">
        <v>42</v>
      </c>
      <c r="N10">
        <f>N4/N9</f>
        <v>2.6052631578947367</v>
      </c>
    </row>
    <row r="11" spans="1:15" x14ac:dyDescent="0.4">
      <c r="A11" s="9"/>
      <c r="L11" t="s">
        <v>36</v>
      </c>
      <c r="M11">
        <f>(M3*(B4*10^-3))/A4</f>
        <v>13.972021229758507</v>
      </c>
      <c r="N11">
        <f>(N3*(B4*10^-3))/A4</f>
        <v>13.972927665336748</v>
      </c>
      <c r="O11">
        <f>1/(N3*C4*A4*10^-9)</f>
        <v>551.62907352764319</v>
      </c>
    </row>
    <row r="12" spans="1:15" x14ac:dyDescent="0.4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25</v>
      </c>
      <c r="J12" t="s">
        <v>24</v>
      </c>
    </row>
    <row r="13" spans="1:15" x14ac:dyDescent="0.4">
      <c r="B13">
        <v>50</v>
      </c>
      <c r="C13">
        <v>8.8900000000000003E-4</v>
      </c>
      <c r="D13">
        <v>1.57E-3</v>
      </c>
      <c r="E13">
        <v>1.02</v>
      </c>
      <c r="F13">
        <f>C13/$B$10</f>
        <v>1.4201277955271565E-5</v>
      </c>
      <c r="G13">
        <f>D13/F13</f>
        <v>110.55343082114736</v>
      </c>
      <c r="H13">
        <f>E13/F13</f>
        <v>71824.521934758159</v>
      </c>
      <c r="I13">
        <f>ABS(G13-H13)</f>
        <v>71713.968503937009</v>
      </c>
      <c r="J13">
        <f>1/I13</f>
        <v>1.3944284786653541E-5</v>
      </c>
    </row>
    <row r="14" spans="1:15" x14ac:dyDescent="0.4">
      <c r="B14">
        <v>70</v>
      </c>
      <c r="C14">
        <v>1.1800000000000001E-3</v>
      </c>
      <c r="D14">
        <v>1.5399999999999999E-3</v>
      </c>
      <c r="E14">
        <v>1.02</v>
      </c>
      <c r="F14">
        <f t="shared" ref="F14:F25" si="0">C14/$B$10</f>
        <v>1.8849840255591053E-5</v>
      </c>
      <c r="G14">
        <f t="shared" ref="G14:G25" si="1">D14/F14</f>
        <v>81.698305084745769</v>
      </c>
      <c r="H14">
        <f t="shared" ref="H14:H25" si="2">E14/F14</f>
        <v>54111.864406779663</v>
      </c>
      <c r="I14">
        <f t="shared" ref="I14:I25" si="3">ABS(G14-H14)</f>
        <v>54030.166101694915</v>
      </c>
      <c r="J14">
        <f t="shared" ref="J14:J25" si="4">1/I14</f>
        <v>1.850817926633452E-5</v>
      </c>
    </row>
    <row r="15" spans="1:15" x14ac:dyDescent="0.4">
      <c r="B15">
        <v>100</v>
      </c>
      <c r="C15">
        <v>1.6100000000000001E-3</v>
      </c>
      <c r="D15">
        <v>1.5200000000000001E-3</v>
      </c>
      <c r="E15">
        <v>1.02</v>
      </c>
      <c r="F15">
        <f t="shared" si="0"/>
        <v>2.5718849840255592E-5</v>
      </c>
      <c r="G15">
        <f t="shared" si="1"/>
        <v>59.100621118012427</v>
      </c>
      <c r="H15">
        <f t="shared" si="2"/>
        <v>39659.627329192546</v>
      </c>
      <c r="I15">
        <f t="shared" si="3"/>
        <v>39600.526708074533</v>
      </c>
      <c r="J15">
        <f t="shared" si="4"/>
        <v>2.5252189380503882E-5</v>
      </c>
    </row>
    <row r="16" spans="1:15" x14ac:dyDescent="0.4">
      <c r="B16">
        <v>150</v>
      </c>
      <c r="C16">
        <v>2.3500000000000001E-3</v>
      </c>
      <c r="D16" s="13">
        <v>1.5E-3</v>
      </c>
      <c r="E16">
        <v>1.02</v>
      </c>
      <c r="F16">
        <f t="shared" si="0"/>
        <v>3.7539936102236424E-5</v>
      </c>
      <c r="G16">
        <f t="shared" si="1"/>
        <v>39.957446808510639</v>
      </c>
      <c r="H16">
        <f t="shared" si="2"/>
        <v>27171.063829787232</v>
      </c>
      <c r="I16">
        <f t="shared" si="3"/>
        <v>27131.10638297872</v>
      </c>
      <c r="J16">
        <f t="shared" si="4"/>
        <v>3.6858061956049508E-5</v>
      </c>
    </row>
    <row r="17" spans="2:10" x14ac:dyDescent="0.4">
      <c r="B17">
        <v>200</v>
      </c>
      <c r="C17" s="13">
        <v>3.13E-3</v>
      </c>
      <c r="D17">
        <v>1.5200000000000001E-3</v>
      </c>
      <c r="E17">
        <v>1.03</v>
      </c>
      <c r="F17">
        <f t="shared" si="0"/>
        <v>4.9999999999999996E-5</v>
      </c>
      <c r="G17">
        <f t="shared" si="1"/>
        <v>30.400000000000006</v>
      </c>
      <c r="H17">
        <f t="shared" si="2"/>
        <v>20600.000000000004</v>
      </c>
      <c r="I17">
        <f t="shared" si="3"/>
        <v>20569.600000000002</v>
      </c>
      <c r="J17">
        <f t="shared" si="4"/>
        <v>4.8615432482887361E-5</v>
      </c>
    </row>
    <row r="18" spans="2:10" x14ac:dyDescent="0.4">
      <c r="B18">
        <v>300</v>
      </c>
      <c r="C18">
        <v>4.7800000000000004E-3</v>
      </c>
      <c r="D18">
        <v>1.7099999999999999E-3</v>
      </c>
      <c r="E18">
        <v>1.01</v>
      </c>
      <c r="F18">
        <f t="shared" si="0"/>
        <v>7.6357827476038347E-5</v>
      </c>
      <c r="G18">
        <f t="shared" si="1"/>
        <v>22.394560669456062</v>
      </c>
      <c r="H18">
        <f t="shared" si="2"/>
        <v>13227.196652719664</v>
      </c>
      <c r="I18">
        <f t="shared" si="3"/>
        <v>13204.802092050208</v>
      </c>
      <c r="J18">
        <f t="shared" si="4"/>
        <v>7.5730025564111857E-5</v>
      </c>
    </row>
    <row r="19" spans="2:10" x14ac:dyDescent="0.4">
      <c r="B19">
        <v>500</v>
      </c>
      <c r="C19">
        <v>7.8700000000000003E-3</v>
      </c>
      <c r="D19">
        <v>2.1900000000000001E-3</v>
      </c>
      <c r="E19">
        <v>1.04</v>
      </c>
      <c r="F19">
        <f t="shared" si="0"/>
        <v>1.257188498402556E-4</v>
      </c>
      <c r="G19">
        <f t="shared" si="1"/>
        <v>17.419822109275731</v>
      </c>
      <c r="H19">
        <f t="shared" si="2"/>
        <v>8272.4269377382461</v>
      </c>
      <c r="I19">
        <f t="shared" si="3"/>
        <v>8255.0071156289705</v>
      </c>
      <c r="J19">
        <f t="shared" si="4"/>
        <v>1.2113859939705302E-4</v>
      </c>
    </row>
    <row r="20" spans="2:10" x14ac:dyDescent="0.4">
      <c r="B20">
        <v>700</v>
      </c>
      <c r="C20" s="12">
        <v>1.0999999999999999E-2</v>
      </c>
      <c r="D20">
        <v>3.65E-3</v>
      </c>
      <c r="E20">
        <v>1.03</v>
      </c>
      <c r="F20">
        <f t="shared" si="0"/>
        <v>1.7571884984025557E-4</v>
      </c>
      <c r="G20">
        <f t="shared" si="1"/>
        <v>20.771818181818183</v>
      </c>
      <c r="H20">
        <f t="shared" si="2"/>
        <v>5861.6363636363649</v>
      </c>
      <c r="I20">
        <f t="shared" si="3"/>
        <v>5840.8645454545467</v>
      </c>
      <c r="J20">
        <f t="shared" si="4"/>
        <v>1.7120753138817707E-4</v>
      </c>
    </row>
    <row r="21" spans="2:10" x14ac:dyDescent="0.4">
      <c r="B21">
        <v>1000</v>
      </c>
      <c r="C21">
        <v>1.5800000000000002E-2</v>
      </c>
      <c r="D21">
        <v>7.1900000000000002E-3</v>
      </c>
      <c r="E21">
        <v>1.04</v>
      </c>
      <c r="F21">
        <f t="shared" si="0"/>
        <v>2.5239616613418535E-4</v>
      </c>
      <c r="G21">
        <f t="shared" si="1"/>
        <v>28.486962025316451</v>
      </c>
      <c r="H21">
        <f t="shared" si="2"/>
        <v>4120.5063291139231</v>
      </c>
      <c r="I21">
        <f t="shared" si="3"/>
        <v>4092.0193670886065</v>
      </c>
      <c r="J21">
        <f t="shared" si="4"/>
        <v>2.4437812001644579E-4</v>
      </c>
    </row>
    <row r="22" spans="2:10" x14ac:dyDescent="0.4">
      <c r="B22">
        <v>1500</v>
      </c>
      <c r="C22">
        <v>2.3099999999999999E-2</v>
      </c>
      <c r="D22">
        <v>1.5800000000000002E-2</v>
      </c>
      <c r="E22">
        <v>1.02</v>
      </c>
      <c r="F22">
        <f t="shared" si="0"/>
        <v>3.6900958466453673E-4</v>
      </c>
      <c r="G22">
        <f t="shared" si="1"/>
        <v>42.817316017316024</v>
      </c>
      <c r="H22">
        <f t="shared" si="2"/>
        <v>2764.1558441558441</v>
      </c>
      <c r="I22">
        <f t="shared" si="3"/>
        <v>2721.3385281385281</v>
      </c>
      <c r="J22">
        <f t="shared" si="4"/>
        <v>3.6746622651318136E-4</v>
      </c>
    </row>
    <row r="23" spans="2:10" x14ac:dyDescent="0.4">
      <c r="B23">
        <v>2000</v>
      </c>
      <c r="C23">
        <v>3.1099999999999999E-2</v>
      </c>
      <c r="D23">
        <v>2.8400000000000002E-2</v>
      </c>
      <c r="E23">
        <v>1.05</v>
      </c>
      <c r="F23">
        <f t="shared" si="0"/>
        <v>4.9680511182108626E-4</v>
      </c>
      <c r="G23">
        <f t="shared" si="1"/>
        <v>57.16527331189711</v>
      </c>
      <c r="H23">
        <f t="shared" si="2"/>
        <v>2113.5048231511255</v>
      </c>
      <c r="I23">
        <f t="shared" si="3"/>
        <v>2056.3395498392283</v>
      </c>
      <c r="J23">
        <f t="shared" si="4"/>
        <v>4.8630101000497874E-4</v>
      </c>
    </row>
    <row r="24" spans="2:10" x14ac:dyDescent="0.4">
      <c r="B24">
        <v>3000</v>
      </c>
      <c r="C24">
        <v>4.87E-2</v>
      </c>
      <c r="D24">
        <v>6.6600000000000006E-2</v>
      </c>
      <c r="E24" s="14">
        <v>1.1000000000000001</v>
      </c>
      <c r="F24">
        <f t="shared" si="0"/>
        <v>7.7795527156549523E-4</v>
      </c>
      <c r="G24">
        <f t="shared" si="1"/>
        <v>85.609034907597547</v>
      </c>
      <c r="H24">
        <f t="shared" si="2"/>
        <v>1413.9630390143739</v>
      </c>
      <c r="I24">
        <f t="shared" si="3"/>
        <v>1328.3540041067763</v>
      </c>
      <c r="J24">
        <f t="shared" si="4"/>
        <v>7.5281137174907601E-4</v>
      </c>
    </row>
    <row r="25" spans="2:10" x14ac:dyDescent="0.4">
      <c r="B25">
        <v>5000</v>
      </c>
      <c r="C25" s="12">
        <v>8.7999999999999995E-2</v>
      </c>
      <c r="D25">
        <v>0.20699999999999999</v>
      </c>
      <c r="E25">
        <v>1.21</v>
      </c>
      <c r="F25">
        <f t="shared" si="0"/>
        <v>1.4057507987220445E-3</v>
      </c>
      <c r="G25">
        <f t="shared" si="1"/>
        <v>147.25227272727273</v>
      </c>
      <c r="H25">
        <f t="shared" si="2"/>
        <v>860.75000000000011</v>
      </c>
      <c r="I25">
        <f t="shared" si="3"/>
        <v>713.49772727272739</v>
      </c>
      <c r="J25">
        <f t="shared" si="4"/>
        <v>1.4015461602413205E-3</v>
      </c>
    </row>
    <row r="26" spans="2:10" x14ac:dyDescent="0.4">
      <c r="B26">
        <v>7000</v>
      </c>
      <c r="C26">
        <v>0.153</v>
      </c>
      <c r="D26">
        <v>0.745</v>
      </c>
      <c r="E26">
        <v>1.48</v>
      </c>
      <c r="F26">
        <f t="shared" ref="F26:F37" si="5">C26/$B$10</f>
        <v>2.4440894568690096E-3</v>
      </c>
      <c r="G26">
        <f t="shared" ref="G26:G37" si="6">D26/F26</f>
        <v>304.8169934640523</v>
      </c>
      <c r="H26">
        <f t="shared" ref="H26:H37" si="7">E26/F26</f>
        <v>605.54248366013076</v>
      </c>
      <c r="I26">
        <f t="shared" ref="I26:I37" si="8">ABS(G26-H26)</f>
        <v>300.72549019607845</v>
      </c>
      <c r="J26">
        <f t="shared" ref="J26:J37" si="9">1/I26</f>
        <v>3.325291778053074E-3</v>
      </c>
    </row>
    <row r="27" spans="2:10" x14ac:dyDescent="0.4">
      <c r="B27">
        <v>9000</v>
      </c>
      <c r="C27">
        <v>0.502</v>
      </c>
      <c r="D27">
        <v>1.99</v>
      </c>
      <c r="E27">
        <v>2.4700000000000002</v>
      </c>
      <c r="F27">
        <f t="shared" si="5"/>
        <v>8.0191693290734816E-3</v>
      </c>
      <c r="G27">
        <f t="shared" si="6"/>
        <v>248.15537848605581</v>
      </c>
      <c r="H27">
        <f t="shared" si="7"/>
        <v>308.01195219123514</v>
      </c>
      <c r="I27">
        <f t="shared" si="8"/>
        <v>59.856573705179329</v>
      </c>
      <c r="J27">
        <f t="shared" si="9"/>
        <v>1.6706602768903074E-2</v>
      </c>
    </row>
    <row r="28" spans="2:10" x14ac:dyDescent="0.4">
      <c r="B28">
        <v>9400</v>
      </c>
      <c r="C28">
        <v>0.57799999999999996</v>
      </c>
      <c r="D28">
        <v>2.5099999999999998</v>
      </c>
      <c r="E28">
        <v>2.93</v>
      </c>
      <c r="F28">
        <f t="shared" si="5"/>
        <v>9.2332268370607026E-3</v>
      </c>
      <c r="G28">
        <f t="shared" si="6"/>
        <v>271.84429065743944</v>
      </c>
      <c r="H28">
        <f t="shared" si="7"/>
        <v>317.33217993079586</v>
      </c>
      <c r="I28">
        <f t="shared" si="8"/>
        <v>45.487889273356416</v>
      </c>
      <c r="J28">
        <f t="shared" si="9"/>
        <v>2.1983873421573097E-2</v>
      </c>
    </row>
    <row r="29" spans="2:10" x14ac:dyDescent="0.4">
      <c r="B29">
        <v>9800</v>
      </c>
      <c r="C29">
        <v>0.70399999999999996</v>
      </c>
      <c r="D29">
        <v>3.47</v>
      </c>
      <c r="E29">
        <v>3.61</v>
      </c>
      <c r="F29">
        <f t="shared" si="5"/>
        <v>1.1246006389776356E-2</v>
      </c>
      <c r="G29">
        <f t="shared" si="6"/>
        <v>308.55397727272731</v>
      </c>
      <c r="H29">
        <f t="shared" si="7"/>
        <v>321.00284090909093</v>
      </c>
      <c r="I29">
        <f t="shared" si="8"/>
        <v>12.448863636363626</v>
      </c>
      <c r="J29">
        <f t="shared" si="9"/>
        <v>8.0328617069831187E-2</v>
      </c>
    </row>
    <row r="30" spans="2:10" x14ac:dyDescent="0.4">
      <c r="B30">
        <v>9900</v>
      </c>
      <c r="C30" s="11">
        <v>0.68</v>
      </c>
      <c r="D30">
        <v>3.38</v>
      </c>
      <c r="E30">
        <v>3.43</v>
      </c>
      <c r="F30">
        <f t="shared" si="5"/>
        <v>1.086261980830671E-2</v>
      </c>
      <c r="G30">
        <f t="shared" si="6"/>
        <v>311.15882352941173</v>
      </c>
      <c r="H30">
        <f t="shared" si="7"/>
        <v>315.76176470588234</v>
      </c>
      <c r="I30">
        <f t="shared" si="8"/>
        <v>4.6029411764706083</v>
      </c>
      <c r="J30">
        <f t="shared" si="9"/>
        <v>0.21725239616613323</v>
      </c>
    </row>
    <row r="31" spans="2:10" x14ac:dyDescent="0.4">
      <c r="B31">
        <v>10200</v>
      </c>
      <c r="C31" s="11">
        <v>0.72</v>
      </c>
      <c r="D31" s="14">
        <v>3.8</v>
      </c>
      <c r="E31">
        <v>3.61</v>
      </c>
      <c r="F31">
        <f t="shared" si="5"/>
        <v>1.1501597444089457E-2</v>
      </c>
      <c r="G31">
        <f t="shared" si="6"/>
        <v>330.38888888888886</v>
      </c>
      <c r="H31">
        <f t="shared" si="7"/>
        <v>313.86944444444441</v>
      </c>
      <c r="I31">
        <f t="shared" si="8"/>
        <v>16.519444444444446</v>
      </c>
      <c r="J31">
        <f t="shared" si="9"/>
        <v>6.0534723389944506E-2</v>
      </c>
    </row>
    <row r="32" spans="2:10" x14ac:dyDescent="0.4">
      <c r="B32">
        <v>11000</v>
      </c>
      <c r="C32" s="11">
        <v>0.68</v>
      </c>
      <c r="D32">
        <v>3.83</v>
      </c>
      <c r="E32" s="14">
        <v>3.3</v>
      </c>
      <c r="F32">
        <f t="shared" si="5"/>
        <v>1.086261980830671E-2</v>
      </c>
      <c r="G32">
        <f t="shared" si="6"/>
        <v>352.58529411764704</v>
      </c>
      <c r="H32">
        <f t="shared" si="7"/>
        <v>303.79411764705878</v>
      </c>
      <c r="I32">
        <f t="shared" si="8"/>
        <v>48.791176470588255</v>
      </c>
      <c r="J32">
        <f t="shared" si="9"/>
        <v>2.0495509072276801E-2</v>
      </c>
    </row>
    <row r="33" spans="1:10" x14ac:dyDescent="0.4">
      <c r="B33">
        <v>13000</v>
      </c>
      <c r="C33">
        <v>0.442</v>
      </c>
      <c r="D33">
        <v>2.62</v>
      </c>
      <c r="E33">
        <v>1.83</v>
      </c>
      <c r="F33">
        <f t="shared" si="5"/>
        <v>7.0607028753993609E-3</v>
      </c>
      <c r="G33">
        <f t="shared" si="6"/>
        <v>371.06787330316746</v>
      </c>
      <c r="H33">
        <f t="shared" si="7"/>
        <v>259.18099547511315</v>
      </c>
      <c r="I33">
        <f t="shared" si="8"/>
        <v>111.88687782805431</v>
      </c>
      <c r="J33">
        <f t="shared" si="9"/>
        <v>8.937598576454887E-3</v>
      </c>
    </row>
    <row r="34" spans="1:10" x14ac:dyDescent="0.4">
      <c r="B34">
        <v>15000</v>
      </c>
      <c r="C34">
        <v>0.35599999999999998</v>
      </c>
      <c r="D34">
        <v>2.06</v>
      </c>
      <c r="E34">
        <v>1.1200000000000001</v>
      </c>
      <c r="F34">
        <f t="shared" si="5"/>
        <v>5.6869009584664528E-3</v>
      </c>
      <c r="G34">
        <f t="shared" si="6"/>
        <v>362.23595505617982</v>
      </c>
      <c r="H34">
        <f t="shared" si="7"/>
        <v>196.94382022471916</v>
      </c>
      <c r="I34">
        <f t="shared" si="8"/>
        <v>165.29213483146066</v>
      </c>
      <c r="J34">
        <f t="shared" si="9"/>
        <v>6.049894636666441E-3</v>
      </c>
    </row>
    <row r="35" spans="1:10" x14ac:dyDescent="0.4">
      <c r="B35">
        <v>20000</v>
      </c>
      <c r="C35">
        <v>0.129</v>
      </c>
      <c r="D35">
        <v>1.39</v>
      </c>
      <c r="E35">
        <v>0.47199999999999998</v>
      </c>
      <c r="F35">
        <f t="shared" si="5"/>
        <v>2.0607028753993608E-3</v>
      </c>
      <c r="G35">
        <f t="shared" si="6"/>
        <v>674.52713178294573</v>
      </c>
      <c r="H35">
        <f t="shared" si="7"/>
        <v>229.04806201550389</v>
      </c>
      <c r="I35">
        <f t="shared" si="8"/>
        <v>445.47906976744184</v>
      </c>
      <c r="J35">
        <f t="shared" si="9"/>
        <v>2.2447743740733779E-3</v>
      </c>
    </row>
    <row r="36" spans="1:10" x14ac:dyDescent="0.4">
      <c r="B36">
        <v>30000</v>
      </c>
      <c r="C36">
        <v>6.8400000000000002E-2</v>
      </c>
      <c r="D36">
        <v>1.06</v>
      </c>
      <c r="E36">
        <v>0.155</v>
      </c>
      <c r="F36">
        <f t="shared" si="5"/>
        <v>1.0926517571884984E-3</v>
      </c>
      <c r="G36">
        <f t="shared" si="6"/>
        <v>970.1169590643276</v>
      </c>
      <c r="H36">
        <f t="shared" si="7"/>
        <v>141.85672514619884</v>
      </c>
      <c r="I36">
        <f t="shared" si="8"/>
        <v>828.26023391812873</v>
      </c>
      <c r="J36">
        <f t="shared" si="9"/>
        <v>1.207350007943092E-3</v>
      </c>
    </row>
    <row r="37" spans="1:10" x14ac:dyDescent="0.4">
      <c r="B37">
        <v>50000</v>
      </c>
      <c r="C37">
        <v>3.5200000000000002E-2</v>
      </c>
      <c r="D37">
        <v>0.94099999999999995</v>
      </c>
      <c r="E37" s="12">
        <v>0.05</v>
      </c>
      <c r="F37">
        <f t="shared" si="5"/>
        <v>5.6230031948881795E-4</v>
      </c>
      <c r="G37">
        <f t="shared" si="6"/>
        <v>1673.4829545454543</v>
      </c>
      <c r="H37">
        <f t="shared" si="7"/>
        <v>88.920454545454547</v>
      </c>
      <c r="I37">
        <f t="shared" si="8"/>
        <v>1584.5624999999998</v>
      </c>
      <c r="J37">
        <f t="shared" si="9"/>
        <v>6.3108902299530633E-4</v>
      </c>
    </row>
    <row r="40" spans="1:10" x14ac:dyDescent="0.4">
      <c r="A40" t="s">
        <v>26</v>
      </c>
    </row>
    <row r="41" spans="1:10" x14ac:dyDescent="0.4">
      <c r="B41" t="s">
        <v>14</v>
      </c>
      <c r="C41" t="s">
        <v>15</v>
      </c>
      <c r="D41" t="s">
        <v>27</v>
      </c>
      <c r="E41" t="s">
        <v>28</v>
      </c>
      <c r="F41" t="s">
        <v>24</v>
      </c>
      <c r="G41" t="s">
        <v>25</v>
      </c>
    </row>
    <row r="42" spans="1:10" x14ac:dyDescent="0.4">
      <c r="B42">
        <v>50</v>
      </c>
      <c r="C42">
        <v>0.90900000000000003</v>
      </c>
      <c r="D42">
        <v>4.4200000000000003E-2</v>
      </c>
      <c r="E42">
        <f>C42/$B$10*10^3</f>
        <v>14.52076677316294</v>
      </c>
      <c r="F42">
        <f>E42*10^3/D42</f>
        <v>328524.13513943303</v>
      </c>
      <c r="G42">
        <f>1/F42</f>
        <v>3.0439163916391639E-6</v>
      </c>
    </row>
    <row r="43" spans="1:10" x14ac:dyDescent="0.4">
      <c r="B43">
        <v>100</v>
      </c>
      <c r="C43" s="11">
        <v>0.94</v>
      </c>
      <c r="D43">
        <v>7.0400000000000004E-2</v>
      </c>
      <c r="E43">
        <f t="shared" ref="E43:E57" si="10">C43/$B$10*10^3</f>
        <v>15.015974440894567</v>
      </c>
      <c r="F43">
        <f t="shared" ref="F43:F57" si="11">E43*10^3/D43</f>
        <v>213295.09148997962</v>
      </c>
      <c r="G43">
        <f t="shared" ref="G43:G57" si="12">1/F43</f>
        <v>4.6883404255319156E-6</v>
      </c>
    </row>
    <row r="44" spans="1:10" x14ac:dyDescent="0.4">
      <c r="B44">
        <v>200</v>
      </c>
      <c r="C44">
        <v>0.92800000000000005</v>
      </c>
      <c r="D44">
        <v>0.129</v>
      </c>
      <c r="E44">
        <f t="shared" si="10"/>
        <v>14.824281150159745</v>
      </c>
      <c r="F44">
        <f t="shared" si="11"/>
        <v>114916.90814077322</v>
      </c>
      <c r="G44">
        <f t="shared" si="12"/>
        <v>8.7019396551724127E-6</v>
      </c>
    </row>
    <row r="45" spans="1:10" x14ac:dyDescent="0.4">
      <c r="B45">
        <v>500</v>
      </c>
      <c r="C45" s="11">
        <v>0.88</v>
      </c>
      <c r="D45">
        <v>0.29499999999999998</v>
      </c>
      <c r="E45">
        <f t="shared" si="10"/>
        <v>14.057507987220447</v>
      </c>
      <c r="F45">
        <f t="shared" si="11"/>
        <v>47652.569448204908</v>
      </c>
      <c r="G45">
        <f t="shared" si="12"/>
        <v>2.0985227272727273E-5</v>
      </c>
    </row>
    <row r="46" spans="1:10" x14ac:dyDescent="0.4">
      <c r="B46">
        <v>1000</v>
      </c>
      <c r="C46">
        <v>0.76100000000000001</v>
      </c>
      <c r="D46">
        <v>0.505</v>
      </c>
      <c r="E46">
        <f t="shared" si="10"/>
        <v>12.156549520766772</v>
      </c>
      <c r="F46">
        <f t="shared" si="11"/>
        <v>24072.375288647072</v>
      </c>
      <c r="G46">
        <f t="shared" si="12"/>
        <v>4.1541392904073596E-5</v>
      </c>
    </row>
    <row r="47" spans="1:10" x14ac:dyDescent="0.4">
      <c r="B47">
        <v>2000</v>
      </c>
      <c r="C47" s="11">
        <v>0.56200000000000006</v>
      </c>
      <c r="D47">
        <v>0.73799999999999999</v>
      </c>
      <c r="E47">
        <f t="shared" si="10"/>
        <v>8.9776357827476048</v>
      </c>
      <c r="F47">
        <f t="shared" si="11"/>
        <v>12164.818133804341</v>
      </c>
      <c r="G47">
        <f t="shared" si="12"/>
        <v>8.2204270462633451E-5</v>
      </c>
    </row>
    <row r="48" spans="1:10" x14ac:dyDescent="0.4">
      <c r="B48">
        <v>5000</v>
      </c>
      <c r="C48">
        <v>0.25700000000000001</v>
      </c>
      <c r="D48" s="11">
        <v>0.88</v>
      </c>
      <c r="E48">
        <f t="shared" si="10"/>
        <v>4.1054313099041533</v>
      </c>
      <c r="F48">
        <f t="shared" si="11"/>
        <v>4665.2628521638098</v>
      </c>
      <c r="G48">
        <f t="shared" si="12"/>
        <v>2.1435019455252923E-4</v>
      </c>
    </row>
    <row r="49" spans="2:7" x14ac:dyDescent="0.4">
      <c r="B49">
        <v>7000</v>
      </c>
      <c r="C49" s="11">
        <v>0.23400000000000001</v>
      </c>
      <c r="D49" s="11">
        <v>0.88</v>
      </c>
      <c r="E49">
        <f t="shared" si="10"/>
        <v>3.7380191693290739</v>
      </c>
      <c r="F49">
        <f t="shared" si="11"/>
        <v>4247.7490560557662</v>
      </c>
      <c r="G49">
        <f t="shared" si="12"/>
        <v>2.3541880341880337E-4</v>
      </c>
    </row>
    <row r="50" spans="2:7" x14ac:dyDescent="0.4">
      <c r="B50">
        <v>7700</v>
      </c>
      <c r="C50">
        <v>0.22800000000000001</v>
      </c>
      <c r="D50" s="11">
        <v>0.9</v>
      </c>
      <c r="E50">
        <f>C50/$B$10*10^3</f>
        <v>3.6421725239616611</v>
      </c>
      <c r="F50" s="15">
        <f>E50*10^3/D50</f>
        <v>4046.8583599574013</v>
      </c>
      <c r="G50">
        <f>1/F50</f>
        <v>2.4710526315789474E-4</v>
      </c>
    </row>
    <row r="51" spans="2:7" x14ac:dyDescent="0.4">
      <c r="B51">
        <v>10000</v>
      </c>
      <c r="C51" s="11">
        <v>0.22500000000000001</v>
      </c>
      <c r="D51" s="11">
        <v>0.9</v>
      </c>
      <c r="E51">
        <f t="shared" si="10"/>
        <v>3.5942492012779552</v>
      </c>
      <c r="F51">
        <f t="shared" si="11"/>
        <v>3993.6102236421725</v>
      </c>
      <c r="G51">
        <f t="shared" si="12"/>
        <v>2.5040000000000001E-4</v>
      </c>
    </row>
    <row r="52" spans="2:7" x14ac:dyDescent="0.4">
      <c r="B52">
        <v>10900</v>
      </c>
      <c r="C52" s="11">
        <v>0.24</v>
      </c>
      <c r="D52" s="11">
        <v>0.91</v>
      </c>
      <c r="E52">
        <f>C52/$B$10*10^3</f>
        <v>3.8338658146964852</v>
      </c>
      <c r="F52">
        <f>E52*10^3/D52</f>
        <v>4213.0393568093241</v>
      </c>
      <c r="G52">
        <f>1/F52</f>
        <v>2.3735833333333339E-4</v>
      </c>
    </row>
    <row r="53" spans="2:7" x14ac:dyDescent="0.4">
      <c r="B53">
        <v>12000</v>
      </c>
      <c r="C53" s="11">
        <v>0.248</v>
      </c>
      <c r="D53">
        <v>0.90700000000000003</v>
      </c>
      <c r="E53">
        <f t="shared" si="10"/>
        <v>3.9616613418530346</v>
      </c>
      <c r="F53">
        <f t="shared" si="11"/>
        <v>4367.873585284492</v>
      </c>
      <c r="G53">
        <f t="shared" si="12"/>
        <v>2.2894435483870973E-4</v>
      </c>
    </row>
    <row r="54" spans="2:7" x14ac:dyDescent="0.4">
      <c r="B54">
        <v>15000</v>
      </c>
      <c r="C54">
        <v>0.28100000000000003</v>
      </c>
      <c r="D54" s="11">
        <v>0.89900000000000002</v>
      </c>
      <c r="E54">
        <f t="shared" si="10"/>
        <v>4.4888178913738024</v>
      </c>
      <c r="F54" s="15">
        <f>E54*10^3/D54</f>
        <v>4993.1233496927716</v>
      </c>
      <c r="G54" s="16">
        <f t="shared" si="12"/>
        <v>2.0027544483985766E-4</v>
      </c>
    </row>
    <row r="55" spans="2:7" x14ac:dyDescent="0.4">
      <c r="B55">
        <v>20000</v>
      </c>
      <c r="C55">
        <v>0.35699999999999998</v>
      </c>
      <c r="D55">
        <v>0.879</v>
      </c>
      <c r="E55">
        <f t="shared" si="10"/>
        <v>5.7028753993610222</v>
      </c>
      <c r="F55">
        <f t="shared" si="11"/>
        <v>6487.9128547906967</v>
      </c>
      <c r="G55">
        <f t="shared" si="12"/>
        <v>1.5413277310924369E-4</v>
      </c>
    </row>
    <row r="56" spans="2:7" x14ac:dyDescent="0.4">
      <c r="B56">
        <v>30000</v>
      </c>
      <c r="C56">
        <v>0.48199999999999998</v>
      </c>
      <c r="D56" s="11">
        <v>0.82799999999999996</v>
      </c>
      <c r="E56">
        <f t="shared" si="10"/>
        <v>7.6996805111821081</v>
      </c>
      <c r="F56">
        <f t="shared" si="11"/>
        <v>9299.1310521523046</v>
      </c>
      <c r="G56">
        <f t="shared" si="12"/>
        <v>1.0753692946058092E-4</v>
      </c>
    </row>
    <row r="57" spans="2:7" x14ac:dyDescent="0.4">
      <c r="B57">
        <v>50000</v>
      </c>
      <c r="C57">
        <v>0.67900000000000005</v>
      </c>
      <c r="D57">
        <v>0.71599999999999997</v>
      </c>
      <c r="E57">
        <f t="shared" si="10"/>
        <v>10.84664536741214</v>
      </c>
      <c r="F57">
        <f t="shared" si="11"/>
        <v>15148.946043871705</v>
      </c>
      <c r="G57">
        <f t="shared" si="12"/>
        <v>6.6011192930780552E-5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r05i17</dc:creator>
  <cp:lastModifiedBy>r05i42</cp:lastModifiedBy>
  <dcterms:created xsi:type="dcterms:W3CDTF">2025-11-21T04:24:02Z</dcterms:created>
  <dcterms:modified xsi:type="dcterms:W3CDTF">2025-12-11T09:15:42Z</dcterms:modified>
</cp:coreProperties>
</file>
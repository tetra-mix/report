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05i42\Documents\工学実験\Reports\diaode\"/>
    </mc:Choice>
  </mc:AlternateContent>
  <xr:revisionPtr revIDLastSave="0" documentId="13_ncr:1_{17D3253C-D457-4042-ADBC-29DA9435B19C}" xr6:coauthVersionLast="47" xr6:coauthVersionMax="47" xr10:uidLastSave="{00000000-0000-0000-0000-000000000000}"/>
  <bookViews>
    <workbookView xWindow="28680" yWindow="-120" windowWidth="29040" windowHeight="15720" xr2:uid="{B5D23B21-0EB3-4586-AE9F-5DD477EDD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B5" i="1"/>
  <c r="D4" i="1"/>
  <c r="B4" i="1"/>
  <c r="B3" i="1"/>
</calcChain>
</file>

<file path=xl/sharedStrings.xml><?xml version="1.0" encoding="utf-8"?>
<sst xmlns="http://schemas.openxmlformats.org/spreadsheetml/2006/main" count="22" uniqueCount="15">
  <si>
    <t>電圧</t>
    <rPh sb="0" eb="2">
      <t>デンアツ</t>
    </rPh>
    <phoneticPr fontId="1"/>
  </si>
  <si>
    <t>電流[mA]</t>
    <rPh sb="0" eb="2">
      <t>デンリュウ</t>
    </rPh>
    <phoneticPr fontId="1"/>
  </si>
  <si>
    <t>シリコン</t>
    <phoneticPr fontId="1"/>
  </si>
  <si>
    <t>ゲルマニウム</t>
    <phoneticPr fontId="1"/>
  </si>
  <si>
    <t>V1</t>
    <phoneticPr fontId="1"/>
  </si>
  <si>
    <t>V2</t>
    <phoneticPr fontId="1"/>
  </si>
  <si>
    <t>n</t>
    <phoneticPr fontId="1"/>
  </si>
  <si>
    <t>I1</t>
    <phoneticPr fontId="1"/>
  </si>
  <si>
    <t>I2</t>
    <phoneticPr fontId="1"/>
  </si>
  <si>
    <t>n値</t>
    <rPh sb="1" eb="2">
      <t>チ</t>
    </rPh>
    <phoneticPr fontId="1"/>
  </si>
  <si>
    <t>9~17</t>
    <phoneticPr fontId="1"/>
  </si>
  <si>
    <t>LED</t>
    <phoneticPr fontId="1"/>
  </si>
  <si>
    <t>10~18</t>
    <phoneticPr fontId="1"/>
  </si>
  <si>
    <t>ツェナーダイオード(逆方向)</t>
    <rPh sb="10" eb="13">
      <t>ギャクホウコウ</t>
    </rPh>
    <phoneticPr fontId="1"/>
  </si>
  <si>
    <t>LEDが付き始める 0.0746[mA] 1.6310[V]</t>
    <rPh sb="4" eb="5">
      <t>ツ</t>
    </rPh>
    <rPh sb="6" eb="7">
      <t>ハジ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</si>
</sst>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000"/>
    <numFmt numFmtId="180" formatCode="0.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ダイオード</a:t>
            </a:r>
            <a:r>
              <a:rPr lang="en-US" altLang="ja-JP"/>
              <a:t>(Si)</a:t>
            </a:r>
            <a:r>
              <a:rPr lang="ja-JP" altLang="en-US"/>
              <a:t>の片対数グラフ</a:t>
            </a:r>
          </a:p>
        </c:rich>
      </c:tx>
      <c:layout>
        <c:manualLayout>
          <c:xMode val="edge"/>
          <c:yMode val="edge"/>
          <c:x val="0.23727077865266838"/>
          <c:y val="1.3888888888888888E-2"/>
        </c:manualLayout>
      </c:layout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8.9886482939632542E-2"/>
          <c:y val="0.10847222222222222"/>
          <c:w val="0.85540529308836399"/>
          <c:h val="0.7480092592592592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Sheet1!$A$8:$A$21</c:f>
              <c:numCache>
                <c:formatCode>0.000</c:formatCode>
                <c:ptCount val="14"/>
                <c:pt idx="0">
                  <c:v>0.158</c:v>
                </c:pt>
                <c:pt idx="1">
                  <c:v>0.20100000000000001</c:v>
                </c:pt>
                <c:pt idx="2">
                  <c:v>0.247</c:v>
                </c:pt>
                <c:pt idx="3">
                  <c:v>0.30099999999999999</c:v>
                </c:pt>
                <c:pt idx="4">
                  <c:v>0.34300000000000003</c:v>
                </c:pt>
                <c:pt idx="5">
                  <c:v>0.38200000000000001</c:v>
                </c:pt>
                <c:pt idx="6">
                  <c:v>0.41399999999999998</c:v>
                </c:pt>
                <c:pt idx="7">
                  <c:v>0.45800000000000002</c:v>
                </c:pt>
                <c:pt idx="8">
                  <c:v>0.48</c:v>
                </c:pt>
                <c:pt idx="9">
                  <c:v>0.49399999999999999</c:v>
                </c:pt>
                <c:pt idx="10">
                  <c:v>0.505</c:v>
                </c:pt>
                <c:pt idx="11">
                  <c:v>0.61</c:v>
                </c:pt>
                <c:pt idx="12">
                  <c:v>0.65</c:v>
                </c:pt>
                <c:pt idx="13">
                  <c:v>0.7</c:v>
                </c:pt>
              </c:numCache>
            </c:numRef>
          </c:xVal>
          <c:yVal>
            <c:numRef>
              <c:f>Sheet1!$B$8:$B$21</c:f>
              <c:numCache>
                <c:formatCode>0.000</c:formatCode>
                <c:ptCount val="14"/>
                <c:pt idx="0">
                  <c:v>1E-4</c:v>
                </c:pt>
                <c:pt idx="1">
                  <c:v>2.9999999999999997E-4</c:v>
                </c:pt>
                <c:pt idx="2">
                  <c:v>6.9999999999999999E-4</c:v>
                </c:pt>
                <c:pt idx="3">
                  <c:v>2.0999999999999999E-3</c:v>
                </c:pt>
                <c:pt idx="4">
                  <c:v>5.0000000000000001E-3</c:v>
                </c:pt>
                <c:pt idx="5">
                  <c:v>1.04E-2</c:v>
                </c:pt>
                <c:pt idx="6">
                  <c:v>0.02</c:v>
                </c:pt>
                <c:pt idx="7">
                  <c:v>4.9200000000000001E-2</c:v>
                </c:pt>
                <c:pt idx="8">
                  <c:v>7.4999999999999997E-2</c:v>
                </c:pt>
                <c:pt idx="9">
                  <c:v>0.1013</c:v>
                </c:pt>
                <c:pt idx="10">
                  <c:v>0.12559999999999999</c:v>
                </c:pt>
                <c:pt idx="11">
                  <c:v>0.999</c:v>
                </c:pt>
                <c:pt idx="12">
                  <c:v>2.218</c:v>
                </c:pt>
                <c:pt idx="13">
                  <c:v>6.4269999999999996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F3-43C5-BF5C-E347AF6F0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735919"/>
        <c:axId val="1159736335"/>
      </c:scatterChart>
      <c:valAx>
        <c:axId val="115973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9736335"/>
        <c:crossesAt val="1.0000000000000003E-4"/>
        <c:crossBetween val="midCat"/>
      </c:valAx>
      <c:valAx>
        <c:axId val="115973633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973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ゲルマニウム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Sheet1!$F$7</c:f>
              <c:strCache>
                <c:ptCount val="1"/>
                <c:pt idx="0">
                  <c:v>電流[mA]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Sheet1!$E$8:$E$21</c:f>
              <c:numCache>
                <c:formatCode>0.0000</c:formatCode>
                <c:ptCount val="14"/>
                <c:pt idx="0">
                  <c:v>1.1000000000000001E-3</c:v>
                </c:pt>
                <c:pt idx="1">
                  <c:v>1.6E-2</c:v>
                </c:pt>
                <c:pt idx="2">
                  <c:v>4.87E-2</c:v>
                </c:pt>
                <c:pt idx="3">
                  <c:v>5.8700000000000002E-2</c:v>
                </c:pt>
                <c:pt idx="4">
                  <c:v>6.8400000000000002E-2</c:v>
                </c:pt>
                <c:pt idx="5">
                  <c:v>8.1699999999999995E-2</c:v>
                </c:pt>
                <c:pt idx="6">
                  <c:v>0.1087</c:v>
                </c:pt>
                <c:pt idx="7">
                  <c:v>0.13800000000000001</c:v>
                </c:pt>
                <c:pt idx="8">
                  <c:v>0.16439999999999999</c:v>
                </c:pt>
                <c:pt idx="9">
                  <c:v>0.26900000000000002</c:v>
                </c:pt>
                <c:pt idx="10">
                  <c:v>0.33879999999999999</c:v>
                </c:pt>
                <c:pt idx="11">
                  <c:v>0.39140000000000003</c:v>
                </c:pt>
                <c:pt idx="12">
                  <c:v>0.4355</c:v>
                </c:pt>
              </c:numCache>
            </c:numRef>
          </c:xVal>
          <c:yVal>
            <c:numRef>
              <c:f>Sheet1!$F$8:$F$21</c:f>
              <c:numCache>
                <c:formatCode>0.0000</c:formatCode>
                <c:ptCount val="14"/>
                <c:pt idx="0">
                  <c:v>1E-4</c:v>
                </c:pt>
                <c:pt idx="1">
                  <c:v>1E-3</c:v>
                </c:pt>
                <c:pt idx="2">
                  <c:v>5.1999999999999998E-3</c:v>
                </c:pt>
                <c:pt idx="3">
                  <c:v>7.4000000000000003E-3</c:v>
                </c:pt>
                <c:pt idx="4">
                  <c:v>9.9000000000000008E-3</c:v>
                </c:pt>
                <c:pt idx="5">
                  <c:v>1.4800000000000001E-2</c:v>
                </c:pt>
                <c:pt idx="6">
                  <c:v>3.04E-2</c:v>
                </c:pt>
                <c:pt idx="7">
                  <c:v>6.0100000000000001E-2</c:v>
                </c:pt>
                <c:pt idx="8">
                  <c:v>0.10340000000000001</c:v>
                </c:pt>
                <c:pt idx="9">
                  <c:v>0.49869999999999998</c:v>
                </c:pt>
                <c:pt idx="10">
                  <c:v>0.99760000000000004</c:v>
                </c:pt>
                <c:pt idx="11">
                  <c:v>1.5015000000000001</c:v>
                </c:pt>
                <c:pt idx="12">
                  <c:v>2.0070999999999999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B4-4A16-8D5A-B3527245E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168447"/>
        <c:axId val="1189167199"/>
      </c:scatterChart>
      <c:valAx>
        <c:axId val="118916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9167199"/>
        <c:crossesAt val="1.0000000000000003E-4"/>
        <c:crossBetween val="midCat"/>
      </c:valAx>
      <c:valAx>
        <c:axId val="118916719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916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Sheet1!$I$7</c:f>
              <c:strCache>
                <c:ptCount val="1"/>
                <c:pt idx="0">
                  <c:v>電流[mA]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Sheet1!$H$8:$H$20</c:f>
              <c:numCache>
                <c:formatCode>General</c:formatCode>
                <c:ptCount val="13"/>
                <c:pt idx="0" formatCode="0.0000">
                  <c:v>1.2906</c:v>
                </c:pt>
                <c:pt idx="1">
                  <c:v>1.3905000000000001</c:v>
                </c:pt>
                <c:pt idx="2">
                  <c:v>1.4549000000000001</c:v>
                </c:pt>
                <c:pt idx="3">
                  <c:v>1.4912000000000001</c:v>
                </c:pt>
                <c:pt idx="4">
                  <c:v>1.5361</c:v>
                </c:pt>
                <c:pt idx="5">
                  <c:v>1.5673999999999999</c:v>
                </c:pt>
                <c:pt idx="6">
                  <c:v>1.595</c:v>
                </c:pt>
                <c:pt idx="7">
                  <c:v>1.6317999999999999</c:v>
                </c:pt>
                <c:pt idx="8">
                  <c:v>1.6608000000000001</c:v>
                </c:pt>
                <c:pt idx="9">
                  <c:v>1.7197</c:v>
                </c:pt>
                <c:pt idx="10">
                  <c:v>1.7618</c:v>
                </c:pt>
                <c:pt idx="11">
                  <c:v>1.7912999999999999</c:v>
                </c:pt>
                <c:pt idx="12">
                  <c:v>1.8142</c:v>
                </c:pt>
              </c:numCache>
            </c:numRef>
          </c:xVal>
          <c:yVal>
            <c:numRef>
              <c:f>Sheet1!$I$8:$I$20</c:f>
              <c:numCache>
                <c:formatCode>0.0000</c:formatCode>
                <c:ptCount val="13"/>
                <c:pt idx="0">
                  <c:v>1E-4</c:v>
                </c:pt>
                <c:pt idx="1">
                  <c:v>5.0000000000000001E-4</c:v>
                </c:pt>
                <c:pt idx="2">
                  <c:v>1.5E-3</c:v>
                </c:pt>
                <c:pt idx="3">
                  <c:v>3.0000000000000001E-3</c:v>
                </c:pt>
                <c:pt idx="4">
                  <c:v>7.6E-3</c:v>
                </c:pt>
                <c:pt idx="5">
                  <c:v>1.5599999999999999E-2</c:v>
                </c:pt>
                <c:pt idx="6">
                  <c:v>3.0099999999999998E-2</c:v>
                </c:pt>
                <c:pt idx="7">
                  <c:v>7.4800000000000005E-2</c:v>
                </c:pt>
                <c:pt idx="8">
                  <c:v>0.1492</c:v>
                </c:pt>
                <c:pt idx="9">
                  <c:v>0.50209999999999999</c:v>
                </c:pt>
                <c:pt idx="10">
                  <c:v>0.99919999999999998</c:v>
                </c:pt>
                <c:pt idx="11">
                  <c:v>1.4999</c:v>
                </c:pt>
                <c:pt idx="12">
                  <c:v>2.0062000000000002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9F-4224-80A0-64AB83629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215119"/>
        <c:axId val="1278212623"/>
      </c:scatterChart>
      <c:valAx>
        <c:axId val="12782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8212623"/>
        <c:crossesAt val="1.0000000000000003E-4"/>
        <c:crossBetween val="midCat"/>
      </c:valAx>
      <c:valAx>
        <c:axId val="127821262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8215119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ツェナーダイオード</a:t>
            </a:r>
            <a:r>
              <a:rPr lang="en-US" altLang="ja-JP"/>
              <a:t>(</a:t>
            </a:r>
            <a:r>
              <a:rPr lang="ja-JP" altLang="en-US"/>
              <a:t>逆方向</a:t>
            </a:r>
            <a:r>
              <a:rPr lang="en-US" altLang="ja-JP"/>
              <a:t>)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Sheet1!$K$8:$K$23</c:f>
              <c:numCache>
                <c:formatCode>0.0000</c:formatCode>
                <c:ptCount val="16"/>
                <c:pt idx="0">
                  <c:v>1.5747</c:v>
                </c:pt>
                <c:pt idx="1">
                  <c:v>1.7436</c:v>
                </c:pt>
                <c:pt idx="2">
                  <c:v>1.8384</c:v>
                </c:pt>
                <c:pt idx="3">
                  <c:v>1.9685999999999999</c:v>
                </c:pt>
                <c:pt idx="4">
                  <c:v>2.1535000000000002</c:v>
                </c:pt>
                <c:pt idx="5">
                  <c:v>2.3052000000000001</c:v>
                </c:pt>
                <c:pt idx="6">
                  <c:v>2.5242</c:v>
                </c:pt>
                <c:pt idx="7">
                  <c:v>2.7098</c:v>
                </c:pt>
                <c:pt idx="8">
                  <c:v>2.9186999999999999</c:v>
                </c:pt>
                <c:pt idx="9">
                  <c:v>3.2120000000000002</c:v>
                </c:pt>
                <c:pt idx="10">
                  <c:v>3.4761000000000002</c:v>
                </c:pt>
                <c:pt idx="11">
                  <c:v>3.64</c:v>
                </c:pt>
                <c:pt idx="12">
                  <c:v>3.7850000000000001</c:v>
                </c:pt>
                <c:pt idx="13">
                  <c:v>3.9780000000000002</c:v>
                </c:pt>
                <c:pt idx="14">
                  <c:v>4.1692</c:v>
                </c:pt>
                <c:pt idx="15">
                  <c:v>4.3114999999999997</c:v>
                </c:pt>
              </c:numCache>
            </c:numRef>
          </c:xVal>
          <c:yVal>
            <c:numRef>
              <c:f>Sheet1!$L$8:$L$23</c:f>
              <c:numCache>
                <c:formatCode>0.0000</c:formatCode>
                <c:ptCount val="16"/>
                <c:pt idx="0">
                  <c:v>1E-4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2E-3</c:v>
                </c:pt>
                <c:pt idx="4">
                  <c:v>5.0000000000000001E-3</c:v>
                </c:pt>
                <c:pt idx="5">
                  <c:v>1.01E-2</c:v>
                </c:pt>
                <c:pt idx="6">
                  <c:v>2.4899999999999999E-2</c:v>
                </c:pt>
                <c:pt idx="7">
                  <c:v>5.0099999999999999E-2</c:v>
                </c:pt>
                <c:pt idx="8">
                  <c:v>0.1028</c:v>
                </c:pt>
                <c:pt idx="9">
                  <c:v>0.25369999999999998</c:v>
                </c:pt>
                <c:pt idx="10">
                  <c:v>0.50190000000000001</c:v>
                </c:pt>
                <c:pt idx="11">
                  <c:v>0.73009999999999997</c:v>
                </c:pt>
                <c:pt idx="12">
                  <c:v>1.0029999999999999</c:v>
                </c:pt>
                <c:pt idx="13">
                  <c:v>1.4783999999999999</c:v>
                </c:pt>
                <c:pt idx="14">
                  <c:v>2.0099999999999998</c:v>
                </c:pt>
                <c:pt idx="15">
                  <c:v>2.4910000000000001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CE-4D04-A89D-EAC11B538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218031"/>
        <c:axId val="1278214287"/>
      </c:scatterChart>
      <c:valAx>
        <c:axId val="127821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8214287"/>
        <c:crossesAt val="1.0000000000000003E-4"/>
        <c:crossBetween val="midCat"/>
      </c:valAx>
      <c:valAx>
        <c:axId val="12782142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821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25</xdr:row>
      <xdr:rowOff>0</xdr:rowOff>
    </xdr:from>
    <xdr:to>
      <xdr:col>6</xdr:col>
      <xdr:colOff>266700</xdr:colOff>
      <xdr:row>36</xdr:row>
      <xdr:rowOff>123825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1A9B736-467D-4E1C-8262-4A5A423D4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400050</xdr:colOff>
      <xdr:row>13</xdr:row>
      <xdr:rowOff>48490</xdr:rowOff>
    </xdr:from>
    <xdr:to>
      <xdr:col>6</xdr:col>
      <xdr:colOff>249382</xdr:colOff>
      <xdr:row>24</xdr:row>
      <xdr:rowOff>167986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C4373A0-C85C-4B19-8CB5-20B217BC7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319087</xdr:colOff>
      <xdr:row>24</xdr:row>
      <xdr:rowOff>228600</xdr:rowOff>
    </xdr:from>
    <xdr:to>
      <xdr:col>13</xdr:col>
      <xdr:colOff>109537</xdr:colOff>
      <xdr:row>36</xdr:row>
      <xdr:rowOff>114300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52AAA10-53A7-43FE-AC84-ABB196F25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328612</xdr:colOff>
      <xdr:row>13</xdr:row>
      <xdr:rowOff>76200</xdr:rowOff>
    </xdr:from>
    <xdr:to>
      <xdr:col>12</xdr:col>
      <xdr:colOff>642937</xdr:colOff>
      <xdr:row>24</xdr:row>
      <xdr:rowOff>200025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1BC1A93-2024-4AB2-A47A-ADA09F53E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7A8C-E30C-406A-8FDD-513CA636930B}">
  <dimension ref="A1:L33"/>
  <sheetViews>
    <sheetView tabSelected="1" topLeftCell="A7" zoomScaleNormal="100" workbookViewId="0">
      <selection activeCell="N22" sqref="N22"/>
    </sheetView>
  </sheetViews>
  <sheetFormatPr defaultRowHeight="18.75" x14ac:dyDescent="0.4"/>
  <cols>
    <col min="3" max="4" width="11.5" customWidth="1"/>
    <col min="5" max="5" width="12.375" customWidth="1"/>
    <col min="10" max="10" width="8.75" customWidth="1"/>
    <col min="11" max="11" width="11.125" bestFit="1" customWidth="1"/>
  </cols>
  <sheetData>
    <row r="1" spans="1:12" x14ac:dyDescent="0.4">
      <c r="E1" t="s">
        <v>10</v>
      </c>
      <c r="H1" t="s">
        <v>12</v>
      </c>
    </row>
    <row r="2" spans="1:12" x14ac:dyDescent="0.4">
      <c r="A2" t="s">
        <v>9</v>
      </c>
      <c r="B2" t="s">
        <v>2</v>
      </c>
      <c r="C2">
        <v>1.9048970000000001</v>
      </c>
      <c r="E2" t="s">
        <v>3</v>
      </c>
      <c r="F2">
        <v>1.566446</v>
      </c>
      <c r="H2" t="s">
        <v>11</v>
      </c>
      <c r="I2">
        <v>1.8155600000000001</v>
      </c>
    </row>
    <row r="3" spans="1:12" x14ac:dyDescent="0.4">
      <c r="A3" s="1" t="s">
        <v>6</v>
      </c>
      <c r="B3">
        <f>(B5-B4)/(0.026*(LN(D5/D4)))</f>
        <v>1.8155601908029504</v>
      </c>
      <c r="H3" t="s">
        <v>14</v>
      </c>
    </row>
    <row r="4" spans="1:12" x14ac:dyDescent="0.4">
      <c r="A4" s="1" t="s">
        <v>4</v>
      </c>
      <c r="B4" s="2">
        <f>H10</f>
        <v>1.4549000000000001</v>
      </c>
      <c r="C4" s="1" t="s">
        <v>7</v>
      </c>
      <c r="D4" s="2">
        <f>I10</f>
        <v>1.5E-3</v>
      </c>
    </row>
    <row r="5" spans="1:12" x14ac:dyDescent="0.4">
      <c r="A5" s="1" t="s">
        <v>5</v>
      </c>
      <c r="B5" s="2">
        <f>H18</f>
        <v>1.7618</v>
      </c>
      <c r="C5" s="1" t="s">
        <v>8</v>
      </c>
      <c r="D5" s="2">
        <f>I18</f>
        <v>0.99919999999999998</v>
      </c>
    </row>
    <row r="6" spans="1:12" x14ac:dyDescent="0.4">
      <c r="A6" t="s">
        <v>2</v>
      </c>
      <c r="E6" t="s">
        <v>3</v>
      </c>
      <c r="H6" t="s">
        <v>11</v>
      </c>
      <c r="K6" t="s">
        <v>13</v>
      </c>
    </row>
    <row r="7" spans="1:12" x14ac:dyDescent="0.4">
      <c r="A7" t="s">
        <v>0</v>
      </c>
      <c r="B7" t="s">
        <v>1</v>
      </c>
      <c r="E7" t="s">
        <v>0</v>
      </c>
      <c r="F7" t="s">
        <v>1</v>
      </c>
      <c r="H7" t="s">
        <v>0</v>
      </c>
      <c r="I7" t="s">
        <v>1</v>
      </c>
    </row>
    <row r="8" spans="1:12" x14ac:dyDescent="0.4">
      <c r="A8" s="3">
        <v>0.158</v>
      </c>
      <c r="B8" s="3">
        <v>1E-4</v>
      </c>
      <c r="E8" s="2">
        <v>1.1000000000000001E-3</v>
      </c>
      <c r="F8" s="2">
        <v>1E-4</v>
      </c>
      <c r="H8" s="2">
        <v>1.2906</v>
      </c>
      <c r="I8" s="2">
        <v>1E-4</v>
      </c>
      <c r="K8" s="2">
        <v>1.5747</v>
      </c>
      <c r="L8" s="2">
        <v>1E-4</v>
      </c>
    </row>
    <row r="9" spans="1:12" x14ac:dyDescent="0.4">
      <c r="A9" s="3">
        <v>0.20100000000000001</v>
      </c>
      <c r="B9" s="3">
        <v>2.9999999999999997E-4</v>
      </c>
      <c r="E9" s="2">
        <v>1.6E-2</v>
      </c>
      <c r="F9" s="2">
        <v>1E-3</v>
      </c>
      <c r="H9">
        <v>1.3905000000000001</v>
      </c>
      <c r="I9" s="2">
        <v>5.0000000000000001E-4</v>
      </c>
      <c r="K9" s="2">
        <v>1.7436</v>
      </c>
      <c r="L9" s="2">
        <v>5.0000000000000001E-4</v>
      </c>
    </row>
    <row r="10" spans="1:12" x14ac:dyDescent="0.4">
      <c r="A10" s="3">
        <v>0.247</v>
      </c>
      <c r="B10" s="3">
        <v>6.9999999999999999E-4</v>
      </c>
      <c r="E10" s="2">
        <v>4.87E-2</v>
      </c>
      <c r="F10" s="2">
        <v>5.1999999999999998E-3</v>
      </c>
      <c r="H10">
        <v>1.4549000000000001</v>
      </c>
      <c r="I10" s="2">
        <v>1.5E-3</v>
      </c>
      <c r="K10" s="2">
        <v>1.8384</v>
      </c>
      <c r="L10" s="2">
        <v>1E-3</v>
      </c>
    </row>
    <row r="11" spans="1:12" x14ac:dyDescent="0.4">
      <c r="A11" s="3">
        <v>0.30099999999999999</v>
      </c>
      <c r="B11" s="3">
        <v>2.0999999999999999E-3</v>
      </c>
      <c r="E11" s="2">
        <v>5.8700000000000002E-2</v>
      </c>
      <c r="F11" s="2">
        <v>7.4000000000000003E-3</v>
      </c>
      <c r="H11">
        <v>1.4912000000000001</v>
      </c>
      <c r="I11" s="2">
        <v>3.0000000000000001E-3</v>
      </c>
      <c r="K11" s="2">
        <v>1.9685999999999999</v>
      </c>
      <c r="L11" s="2">
        <v>2E-3</v>
      </c>
    </row>
    <row r="12" spans="1:12" x14ac:dyDescent="0.4">
      <c r="A12" s="3">
        <v>0.34300000000000003</v>
      </c>
      <c r="B12" s="3">
        <v>5.0000000000000001E-3</v>
      </c>
      <c r="E12" s="2">
        <v>6.8400000000000002E-2</v>
      </c>
      <c r="F12" s="2">
        <v>9.9000000000000008E-3</v>
      </c>
      <c r="H12">
        <v>1.5361</v>
      </c>
      <c r="I12" s="2">
        <v>7.6E-3</v>
      </c>
      <c r="K12" s="2">
        <v>2.1535000000000002</v>
      </c>
      <c r="L12" s="2">
        <v>5.0000000000000001E-3</v>
      </c>
    </row>
    <row r="13" spans="1:12" x14ac:dyDescent="0.4">
      <c r="A13" s="3">
        <v>0.38200000000000001</v>
      </c>
      <c r="B13" s="3">
        <v>1.04E-2</v>
      </c>
      <c r="E13" s="2">
        <v>8.1699999999999995E-2</v>
      </c>
      <c r="F13" s="2">
        <v>1.4800000000000001E-2</v>
      </c>
      <c r="H13">
        <v>1.5673999999999999</v>
      </c>
      <c r="I13" s="2">
        <v>1.5599999999999999E-2</v>
      </c>
      <c r="K13" s="2">
        <v>2.3052000000000001</v>
      </c>
      <c r="L13" s="2">
        <v>1.01E-2</v>
      </c>
    </row>
    <row r="14" spans="1:12" x14ac:dyDescent="0.4">
      <c r="A14" s="3">
        <v>0.41399999999999998</v>
      </c>
      <c r="B14" s="3">
        <v>0.02</v>
      </c>
      <c r="E14" s="2">
        <v>0.1087</v>
      </c>
      <c r="F14" s="2">
        <v>3.04E-2</v>
      </c>
      <c r="H14">
        <v>1.595</v>
      </c>
      <c r="I14" s="2">
        <v>3.0099999999999998E-2</v>
      </c>
      <c r="K14" s="2">
        <v>2.5242</v>
      </c>
      <c r="L14" s="2">
        <v>2.4899999999999999E-2</v>
      </c>
    </row>
    <row r="15" spans="1:12" x14ac:dyDescent="0.4">
      <c r="A15" s="3">
        <v>0.45800000000000002</v>
      </c>
      <c r="B15" s="3">
        <v>4.9200000000000001E-2</v>
      </c>
      <c r="E15" s="2">
        <v>0.13800000000000001</v>
      </c>
      <c r="F15" s="2">
        <v>6.0100000000000001E-2</v>
      </c>
      <c r="H15">
        <v>1.6317999999999999</v>
      </c>
      <c r="I15" s="2">
        <v>7.4800000000000005E-2</v>
      </c>
      <c r="K15" s="2">
        <v>2.7098</v>
      </c>
      <c r="L15" s="2">
        <v>5.0099999999999999E-2</v>
      </c>
    </row>
    <row r="16" spans="1:12" x14ac:dyDescent="0.4">
      <c r="A16" s="3">
        <v>0.48</v>
      </c>
      <c r="B16" s="3">
        <v>7.4999999999999997E-2</v>
      </c>
      <c r="E16" s="2">
        <v>0.16439999999999999</v>
      </c>
      <c r="F16" s="2">
        <v>0.10340000000000001</v>
      </c>
      <c r="H16">
        <v>1.6608000000000001</v>
      </c>
      <c r="I16" s="2">
        <v>0.1492</v>
      </c>
      <c r="K16" s="2">
        <v>2.9186999999999999</v>
      </c>
      <c r="L16" s="2">
        <v>0.1028</v>
      </c>
    </row>
    <row r="17" spans="1:12" x14ac:dyDescent="0.4">
      <c r="A17" s="3">
        <v>0.49399999999999999</v>
      </c>
      <c r="B17" s="3">
        <v>0.1013</v>
      </c>
      <c r="E17" s="2">
        <v>0.26900000000000002</v>
      </c>
      <c r="F17" s="2">
        <v>0.49869999999999998</v>
      </c>
      <c r="H17">
        <v>1.7197</v>
      </c>
      <c r="I17" s="2">
        <v>0.50209999999999999</v>
      </c>
      <c r="K17" s="2">
        <v>3.2120000000000002</v>
      </c>
      <c r="L17" s="2">
        <v>0.25369999999999998</v>
      </c>
    </row>
    <row r="18" spans="1:12" x14ac:dyDescent="0.4">
      <c r="A18" s="3">
        <v>0.505</v>
      </c>
      <c r="B18" s="3">
        <v>0.12559999999999999</v>
      </c>
      <c r="E18" s="2">
        <v>0.33879999999999999</v>
      </c>
      <c r="F18" s="2">
        <v>0.99760000000000004</v>
      </c>
      <c r="H18">
        <v>1.7618</v>
      </c>
      <c r="I18" s="2">
        <v>0.99919999999999998</v>
      </c>
      <c r="K18" s="2">
        <v>3.4761000000000002</v>
      </c>
      <c r="L18" s="2">
        <v>0.50190000000000001</v>
      </c>
    </row>
    <row r="19" spans="1:12" x14ac:dyDescent="0.4">
      <c r="A19" s="3">
        <v>0.61</v>
      </c>
      <c r="B19" s="3">
        <v>0.999</v>
      </c>
      <c r="E19" s="2">
        <v>0.39140000000000003</v>
      </c>
      <c r="F19" s="2">
        <v>1.5015000000000001</v>
      </c>
      <c r="H19">
        <v>1.7912999999999999</v>
      </c>
      <c r="I19" s="2">
        <v>1.4999</v>
      </c>
      <c r="K19" s="2">
        <v>3.64</v>
      </c>
      <c r="L19" s="2">
        <v>0.73009999999999997</v>
      </c>
    </row>
    <row r="20" spans="1:12" x14ac:dyDescent="0.4">
      <c r="A20" s="3">
        <v>0.65</v>
      </c>
      <c r="B20" s="3">
        <v>2.218</v>
      </c>
      <c r="E20" s="2">
        <v>0.4355</v>
      </c>
      <c r="F20" s="2">
        <v>2.0070999999999999</v>
      </c>
      <c r="H20">
        <v>1.8142</v>
      </c>
      <c r="I20" s="2">
        <v>2.0062000000000002</v>
      </c>
      <c r="K20" s="2">
        <v>3.7850000000000001</v>
      </c>
      <c r="L20" s="2">
        <v>1.0029999999999999</v>
      </c>
    </row>
    <row r="21" spans="1:12" x14ac:dyDescent="0.4">
      <c r="A21" s="3">
        <v>0.7</v>
      </c>
      <c r="B21" s="3">
        <v>6.4269999999999996</v>
      </c>
      <c r="E21" s="2"/>
      <c r="F21" s="2"/>
      <c r="K21" s="2">
        <v>3.9780000000000002</v>
      </c>
      <c r="L21" s="2">
        <v>1.4783999999999999</v>
      </c>
    </row>
    <row r="22" spans="1:12" x14ac:dyDescent="0.4">
      <c r="K22" s="2">
        <v>4.1692</v>
      </c>
      <c r="L22" s="2">
        <v>2.0099999999999998</v>
      </c>
    </row>
    <row r="23" spans="1:12" x14ac:dyDescent="0.4">
      <c r="K23" s="2">
        <v>4.3114999999999997</v>
      </c>
      <c r="L23" s="2">
        <v>2.4910000000000001</v>
      </c>
    </row>
    <row r="26" spans="1:12" x14ac:dyDescent="0.4">
      <c r="A26">
        <v>0.6</v>
      </c>
      <c r="B26">
        <v>0.82799999999999996</v>
      </c>
    </row>
    <row r="27" spans="1:12" x14ac:dyDescent="0.4">
      <c r="A27">
        <v>0.62</v>
      </c>
      <c r="B27">
        <v>1.2250000000000001</v>
      </c>
    </row>
    <row r="28" spans="1:12" x14ac:dyDescent="0.4">
      <c r="A28">
        <v>0.63</v>
      </c>
      <c r="B28">
        <v>1.492</v>
      </c>
    </row>
    <row r="29" spans="1:12" x14ac:dyDescent="0.4">
      <c r="A29">
        <v>0.64</v>
      </c>
      <c r="B29">
        <v>1.821</v>
      </c>
    </row>
    <row r="30" spans="1:12" x14ac:dyDescent="0.4">
      <c r="A30">
        <v>0.66</v>
      </c>
      <c r="B30">
        <v>2.7389999999999999</v>
      </c>
    </row>
    <row r="31" spans="1:12" x14ac:dyDescent="0.4">
      <c r="A31">
        <v>0.67</v>
      </c>
      <c r="B31">
        <v>3.3319999999999999</v>
      </c>
    </row>
    <row r="32" spans="1:12" x14ac:dyDescent="0.4">
      <c r="A32">
        <v>0.68</v>
      </c>
      <c r="B32">
        <v>4.0279999999999996</v>
      </c>
    </row>
    <row r="33" spans="1:2" x14ac:dyDescent="0.4">
      <c r="A33">
        <v>0.69</v>
      </c>
      <c r="B33">
        <v>4.8929999999999998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r05i42</dc:creator>
  <cp:lastModifiedBy>r05i42</cp:lastModifiedBy>
  <dcterms:created xsi:type="dcterms:W3CDTF">2025-11-14T04:53:41Z</dcterms:created>
  <dcterms:modified xsi:type="dcterms:W3CDTF">2025-11-14T06:37:48Z</dcterms:modified>
</cp:coreProperties>
</file>